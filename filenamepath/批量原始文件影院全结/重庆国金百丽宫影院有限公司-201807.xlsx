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K22" i="1" l="1"/>
  <c r="N22" i="1"/>
  <c r="O22" i="1"/>
  <c r="Q2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O21" i="1"/>
  <c r="N21" i="1"/>
  <c r="O20" i="1"/>
  <c r="N20" i="1"/>
  <c r="O19" i="1"/>
  <c r="N19" i="1"/>
  <c r="O18" i="1"/>
  <c r="N18" i="1"/>
  <c r="O17" i="1"/>
  <c r="N17" i="1"/>
  <c r="O16" i="1"/>
  <c r="N16" i="1"/>
  <c r="O15" i="1"/>
  <c r="N15" i="1"/>
  <c r="O14" i="1"/>
  <c r="N14" i="1"/>
  <c r="O13" i="1"/>
  <c r="N13" i="1"/>
  <c r="O12" i="1"/>
  <c r="N12" i="1"/>
  <c r="O11" i="1"/>
  <c r="N11" i="1"/>
  <c r="O10" i="1"/>
  <c r="N10" i="1"/>
  <c r="O9" i="1"/>
  <c r="N9" i="1"/>
  <c r="O8" i="1"/>
  <c r="N8" i="1"/>
  <c r="O7" i="1"/>
  <c r="N7" i="1"/>
  <c r="O6" i="1"/>
  <c r="N6" i="1"/>
  <c r="O5" i="1"/>
  <c r="N5" i="1"/>
  <c r="O4" i="1"/>
  <c r="N4" i="1"/>
  <c r="O3" i="1"/>
  <c r="N3" i="1"/>
  <c r="L22" i="1"/>
  <c r="L6" i="1" l="1"/>
  <c r="L3" i="1" l="1"/>
  <c r="L4" i="1"/>
  <c r="L5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O2" i="1" l="1"/>
  <c r="N2" i="1"/>
  <c r="L2" i="1"/>
  <c r="Q2" i="1" l="1"/>
</calcChain>
</file>

<file path=xl/comments1.xml><?xml version="1.0" encoding="utf-8"?>
<comments xmlns="http://schemas.openxmlformats.org/spreadsheetml/2006/main">
  <authors>
    <author>作者</author>
  </authors>
  <commentList>
    <comment ref="A1" authorId="0">
      <text/>
    </comment>
  </commentList>
</comments>
</file>

<file path=xl/sharedStrings.xml><?xml version="1.0" encoding="utf-8"?>
<sst xmlns="http://schemas.openxmlformats.org/spreadsheetml/2006/main" count="138" uniqueCount="63">
  <si>
    <t>序号</t>
  </si>
  <si>
    <t>影片名称</t>
    <phoneticPr fontId="3" type="noConversion"/>
  </si>
  <si>
    <t>影片编码</t>
  </si>
  <si>
    <t>影院名称</t>
    <phoneticPr fontId="3" type="noConversion"/>
  </si>
  <si>
    <t>影院编码</t>
    <phoneticPr fontId="3" type="noConversion"/>
  </si>
  <si>
    <t>设备归属</t>
    <phoneticPr fontId="3" type="noConversion"/>
  </si>
  <si>
    <t>开始日期</t>
    <phoneticPr fontId="3" type="noConversion"/>
  </si>
  <si>
    <t>结束日期</t>
    <phoneticPr fontId="3" type="noConversion"/>
  </si>
  <si>
    <t>总场次</t>
    <phoneticPr fontId="3" type="noConversion"/>
  </si>
  <si>
    <t>总人次</t>
    <phoneticPr fontId="3" type="noConversion"/>
  </si>
  <si>
    <t>总票房</t>
    <phoneticPr fontId="3" type="noConversion"/>
  </si>
  <si>
    <t>电影专项基金</t>
    <phoneticPr fontId="3" type="noConversion"/>
  </si>
  <si>
    <t>增值税率</t>
    <phoneticPr fontId="3" type="noConversion"/>
  </si>
  <si>
    <t>税金</t>
    <phoneticPr fontId="3" type="noConversion"/>
  </si>
  <si>
    <t>净票房</t>
    <phoneticPr fontId="3" type="noConversion"/>
  </si>
  <si>
    <t>分账比例</t>
    <phoneticPr fontId="3" type="noConversion"/>
  </si>
  <si>
    <t>分账片款</t>
    <phoneticPr fontId="3" type="noConversion"/>
  </si>
  <si>
    <t>重庆国金百丽宫影院有限公司</t>
    <phoneticPr fontId="3" type="noConversion"/>
  </si>
  <si>
    <t>中影设备</t>
    <phoneticPr fontId="3" type="noConversion"/>
  </si>
  <si>
    <t>合计</t>
    <phoneticPr fontId="3" type="noConversion"/>
  </si>
  <si>
    <t>侏罗纪世界2（数字3D）</t>
  </si>
  <si>
    <t>超人总动员2（数字3D）</t>
  </si>
  <si>
    <t>龙虾刑警</t>
  </si>
  <si>
    <t>生存家族（数字）</t>
  </si>
  <si>
    <t>动物世界（数字3D）</t>
  </si>
  <si>
    <t>阿飞正传（数字）</t>
  </si>
  <si>
    <t>金蝉脱壳2：冥府（数字）</t>
  </si>
  <si>
    <t>暹罗决：九神战甲（数字）</t>
  </si>
  <si>
    <t>我不是药神</t>
  </si>
  <si>
    <t>重庆国金百丽宫影院有限公司</t>
    <phoneticPr fontId="3" type="noConversion"/>
  </si>
  <si>
    <t>051201022018</t>
  </si>
  <si>
    <t>051201112018</t>
  </si>
  <si>
    <t>051101152018</t>
  </si>
  <si>
    <t>001203772018</t>
  </si>
  <si>
    <t>001103782018</t>
  </si>
  <si>
    <t>012101122018</t>
  </si>
  <si>
    <t>002101142018</t>
  </si>
  <si>
    <t>001104962018</t>
  </si>
  <si>
    <t>014101072018</t>
  </si>
  <si>
    <t>新大头儿子和小头爸爸3俄罗斯奇遇记</t>
  </si>
  <si>
    <t>邪不压正</t>
  </si>
  <si>
    <t>阿修罗（数字3D）</t>
  </si>
  <si>
    <t>小悟空（数字3D）</t>
  </si>
  <si>
    <t>摩天营救（数字3D）</t>
  </si>
  <si>
    <t>狄仁杰之四大天王（数字3D）</t>
  </si>
  <si>
    <t>汪星卧底（数字）</t>
  </si>
  <si>
    <t>淘气大侦探（数字3D）</t>
  </si>
  <si>
    <t>北方一片苍茫</t>
  </si>
  <si>
    <t>神奇马戏团之动物饼干（数字3D）</t>
  </si>
  <si>
    <t>西虹市首富</t>
  </si>
  <si>
    <t>2018-07-01</t>
    <phoneticPr fontId="3" type="noConversion"/>
  </si>
  <si>
    <t>2018-07-31</t>
    <phoneticPr fontId="3" type="noConversion"/>
  </si>
  <si>
    <t>001104952018</t>
  </si>
  <si>
    <t>051201202018</t>
  </si>
  <si>
    <t>001202172018</t>
  </si>
  <si>
    <t>001106062018</t>
  </si>
  <si>
    <t>001204972018</t>
  </si>
  <si>
    <t>001c03982018</t>
  </si>
  <si>
    <t>001b03562018</t>
  </si>
  <si>
    <t>051201262018</t>
  </si>
  <si>
    <t>051101182018</t>
  </si>
  <si>
    <t>001108552017</t>
  </si>
  <si>
    <t>001c05642018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</si>
</sst>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_ "/>
    <numFmt numFmtId="177" formatCode="0.0000_ "/>
    <numFmt numFmtId="178" formatCode="#,##0.00_ "/>
  </numFmts>
  <fonts count="11" x14ac:knownFonts="1">
    <font>
      <sz val="11"/>
      <color theme="1"/>
      <name val="宋体"/>
      <family val="2"/>
      <scheme val="minor"/>
    </font>
    <font>
      <b/>
      <sz val="12"/>
      <color theme="1" tint="0.249977111117893"/>
      <name val="Arial"/>
      <family val="2"/>
    </font>
    <font>
      <b/>
      <sz val="12"/>
      <color theme="1" tint="0.249977111117893"/>
      <name val="宋体"/>
      <family val="3"/>
      <charset val="134"/>
    </font>
    <font>
      <sz val="9"/>
      <name val="宋体"/>
      <family val="3"/>
      <charset val="134"/>
    </font>
    <font>
      <sz val="10"/>
      <color theme="1" tint="0.249977111117893"/>
      <name val="Arial"/>
      <family val="2"/>
    </font>
    <font>
      <sz val="10"/>
      <color theme="1"/>
      <name val="Arial"/>
      <family val="2"/>
    </font>
    <font>
      <sz val="10"/>
      <color theme="1"/>
      <name val="宋体"/>
      <family val="3"/>
      <charset val="134"/>
    </font>
    <font>
      <sz val="10"/>
      <name val="宋体"/>
      <family val="3"/>
      <charset val="134"/>
    </font>
    <font>
      <sz val="11"/>
      <color rgb="FF000000"/>
      <name val="Calibri"/>
      <family val="2"/>
    </font>
    <font>
      <sz val="10"/>
      <color rgb="FF000000"/>
      <name val="Times New Roman"/>
      <family val="1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</cellStyleXfs>
  <cellXfs count="36">
    <xf numFmtId="0" fontId="0" fillId="0" borderId="0" xfId="0"/>
    <xf numFmtId="0" fontId="1" fillId="2" borderId="1" xfId="0" applyFont="1" applyFill="1" applyBorder="1" applyAlignment="1" applyProtection="1">
      <alignment horizontal="center" wrapText="1"/>
    </xf>
    <xf numFmtId="49" fontId="2" fillId="2" borderId="1" xfId="0" applyNumberFormat="1" applyFont="1" applyFill="1" applyBorder="1" applyAlignment="1" applyProtection="1">
      <alignment horizontal="center" wrapText="1"/>
    </xf>
    <xf numFmtId="49" fontId="1" fillId="2" borderId="1" xfId="0" applyNumberFormat="1" applyFont="1" applyFill="1" applyBorder="1" applyAlignment="1" applyProtection="1">
      <alignment horizontal="center" wrapText="1"/>
    </xf>
    <xf numFmtId="14" fontId="2" fillId="2" borderId="1" xfId="0" applyNumberFormat="1" applyFont="1" applyFill="1" applyBorder="1" applyAlignment="1" applyProtection="1">
      <alignment horizontal="center" wrapText="1"/>
    </xf>
    <xf numFmtId="176" fontId="2" fillId="2" borderId="1" xfId="0" applyNumberFormat="1" applyFont="1" applyFill="1" applyBorder="1" applyAlignment="1" applyProtection="1">
      <alignment horizontal="center" wrapText="1"/>
    </xf>
    <xf numFmtId="177" fontId="2" fillId="2" borderId="1" xfId="0" applyNumberFormat="1" applyFont="1" applyFill="1" applyBorder="1" applyAlignment="1" applyProtection="1">
      <alignment horizontal="center" wrapText="1"/>
    </xf>
    <xf numFmtId="0" fontId="4" fillId="0" borderId="0" xfId="0" applyFont="1"/>
    <xf numFmtId="0" fontId="5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 applyProtection="1">
      <alignment horizontal="center" vertical="center"/>
    </xf>
    <xf numFmtId="176" fontId="5" fillId="0" borderId="1" xfId="0" applyNumberFormat="1" applyFont="1" applyFill="1" applyBorder="1" applyAlignment="1">
      <alignment horizontal="right" vertical="center"/>
    </xf>
    <xf numFmtId="177" fontId="5" fillId="0" borderId="1" xfId="0" applyNumberFormat="1" applyFont="1" applyFill="1" applyBorder="1" applyAlignment="1">
      <alignment horizontal="center" vertical="center"/>
    </xf>
    <xf numFmtId="0" fontId="5" fillId="0" borderId="0" xfId="0" applyFont="1" applyFill="1"/>
    <xf numFmtId="0" fontId="0" fillId="0" borderId="2" xfId="0" applyFill="1" applyBorder="1"/>
    <xf numFmtId="49" fontId="5" fillId="0" borderId="2" xfId="0" applyNumberFormat="1" applyFont="1" applyFill="1" applyBorder="1" applyAlignment="1">
      <alignment horizontal="center" vertical="center"/>
    </xf>
    <xf numFmtId="49" fontId="0" fillId="0" borderId="2" xfId="0" applyNumberFormat="1" applyFill="1" applyBorder="1"/>
    <xf numFmtId="14" fontId="0" fillId="0" borderId="2" xfId="0" applyNumberFormat="1" applyFill="1" applyBorder="1"/>
    <xf numFmtId="176" fontId="0" fillId="0" borderId="2" xfId="0" applyNumberFormat="1" applyFill="1" applyBorder="1"/>
    <xf numFmtId="0" fontId="0" fillId="0" borderId="0" xfId="0" applyFill="1"/>
    <xf numFmtId="49" fontId="0" fillId="0" borderId="0" xfId="0" applyNumberFormat="1" applyFill="1"/>
    <xf numFmtId="14" fontId="0" fillId="0" borderId="0" xfId="0" applyNumberFormat="1" applyFill="1"/>
    <xf numFmtId="176" fontId="0" fillId="0" borderId="0" xfId="0" applyNumberFormat="1" applyFill="1"/>
    <xf numFmtId="177" fontId="0" fillId="0" borderId="0" xfId="0" applyNumberFormat="1" applyFill="1"/>
    <xf numFmtId="49" fontId="0" fillId="0" borderId="0" xfId="0" applyNumberFormat="1"/>
    <xf numFmtId="49" fontId="7" fillId="0" borderId="0" xfId="0" applyNumberFormat="1" applyFont="1"/>
    <xf numFmtId="14" fontId="0" fillId="0" borderId="0" xfId="0" applyNumberFormat="1"/>
    <xf numFmtId="176" fontId="0" fillId="0" borderId="0" xfId="0" applyNumberFormat="1"/>
    <xf numFmtId="177" fontId="0" fillId="0" borderId="0" xfId="0" applyNumberFormat="1"/>
    <xf numFmtId="1" fontId="9" fillId="0" borderId="2" xfId="2" applyNumberFormat="1" applyFont="1" applyFill="1" applyBorder="1" applyAlignment="1">
      <alignment horizontal="right" vertical="center" wrapText="1"/>
    </xf>
    <xf numFmtId="1" fontId="9" fillId="0" borderId="2" xfId="3" applyNumberFormat="1" applyFont="1" applyFill="1" applyBorder="1" applyAlignment="1">
      <alignment horizontal="right" vertical="center" wrapText="1"/>
    </xf>
    <xf numFmtId="22" fontId="9" fillId="0" borderId="2" xfId="1" applyNumberFormat="1" applyFont="1" applyFill="1" applyBorder="1" applyAlignment="1">
      <alignment horizontal="left" vertical="center" wrapText="1"/>
    </xf>
    <xf numFmtId="176" fontId="10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Fill="1" applyBorder="1" applyAlignment="1">
      <alignment horizontal="right" vertical="center"/>
    </xf>
  </cellXfs>
  <cellStyles count="5">
    <cellStyle name="常规" xfId="0" builtinId="0"/>
    <cellStyle name="常规 2" xfId="1"/>
    <cellStyle name="常规 3" xfId="2"/>
    <cellStyle name="常规 4" xfId="3"/>
    <cellStyle name="常规 5" xfId="4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Q25"/>
  <sheetViews>
    <sheetView tabSelected="1" workbookViewId="0">
      <selection activeCell="D26" sqref="D26"/>
    </sheetView>
  </sheetViews>
  <sheetFormatPr defaultColWidth="14" defaultRowHeight="13.5" x14ac:dyDescent="0.15"/>
  <cols>
    <col min="1" max="1" width="7.375" customWidth="1"/>
    <col min="2" max="2" width="26.5" style="25" bestFit="1" customWidth="1"/>
    <col min="3" max="3" width="12.125" style="25" bestFit="1" customWidth="1"/>
    <col min="4" max="4" width="12.125" style="25" customWidth="1"/>
    <col min="5" max="5" width="10.25" style="25" customWidth="1"/>
    <col min="6" max="6" width="14" style="25"/>
    <col min="7" max="8" width="12" style="27" customWidth="1"/>
    <col min="9" max="10" width="9.75" style="25" customWidth="1"/>
    <col min="11" max="11" width="14.875" style="28" customWidth="1"/>
    <col min="12" max="12" width="14" style="28"/>
    <col min="13" max="13" width="9.875" style="28" customWidth="1"/>
    <col min="14" max="14" width="14.125" style="28" customWidth="1"/>
    <col min="15" max="15" width="14" style="28"/>
    <col min="16" max="16" width="11.5" style="29" customWidth="1"/>
    <col min="17" max="17" width="14" style="28"/>
  </cols>
  <sheetData>
    <row r="1" spans="1:17" s="7" customFormat="1" ht="15.75" x14ac:dyDescent="0.2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4" t="s">
        <v>7</v>
      </c>
      <c r="I1" s="2" t="s">
        <v>8</v>
      </c>
      <c r="J1" s="2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5" t="s">
        <v>16</v>
      </c>
    </row>
    <row r="2" spans="1:17" s="14" customFormat="1" ht="12.75" x14ac:dyDescent="0.2">
      <c r="A2" s="8">
        <v>1</v>
      </c>
      <c r="B2" s="32" t="s">
        <v>26</v>
      </c>
      <c r="C2" s="34" t="s">
        <v>32</v>
      </c>
      <c r="D2" s="10" t="s">
        <v>17</v>
      </c>
      <c r="E2" s="34">
        <v>50050071</v>
      </c>
      <c r="F2" s="11" t="s">
        <v>18</v>
      </c>
      <c r="G2" s="9" t="s">
        <v>50</v>
      </c>
      <c r="H2" s="9" t="s">
        <v>51</v>
      </c>
      <c r="I2" s="30">
        <v>53</v>
      </c>
      <c r="J2" s="31">
        <v>175</v>
      </c>
      <c r="K2" s="35">
        <v>4896</v>
      </c>
      <c r="L2" s="12">
        <f>K2*0.05</f>
        <v>244.8</v>
      </c>
      <c r="M2" s="33">
        <v>0.03</v>
      </c>
      <c r="N2" s="35">
        <f>K2*(1-0.96737864)</f>
        <v>159.71417856000022</v>
      </c>
      <c r="O2" s="35">
        <f>K2*0.91737864</f>
        <v>4491.4858214400001</v>
      </c>
      <c r="P2" s="13">
        <v>0.48</v>
      </c>
      <c r="Q2" s="35">
        <f>ROUND(O2*P2,2)</f>
        <v>2155.91</v>
      </c>
    </row>
    <row r="3" spans="1:17" s="14" customFormat="1" ht="12.75" x14ac:dyDescent="0.2">
      <c r="A3" s="8">
        <v>2</v>
      </c>
      <c r="B3" s="32" t="s">
        <v>24</v>
      </c>
      <c r="C3" s="34" t="s">
        <v>33</v>
      </c>
      <c r="D3" s="10" t="s">
        <v>17</v>
      </c>
      <c r="E3" s="34">
        <v>50050071</v>
      </c>
      <c r="F3" s="11" t="s">
        <v>18</v>
      </c>
      <c r="G3" s="9" t="s">
        <v>50</v>
      </c>
      <c r="H3" s="9" t="s">
        <v>51</v>
      </c>
      <c r="I3" s="30">
        <v>108</v>
      </c>
      <c r="J3" s="31">
        <v>877</v>
      </c>
      <c r="K3" s="35">
        <v>32440</v>
      </c>
      <c r="L3" s="12">
        <f t="shared" ref="L3:L21" si="0">K3*0.05</f>
        <v>1622</v>
      </c>
      <c r="M3" s="33">
        <v>0.03</v>
      </c>
      <c r="N3" s="35">
        <f t="shared" ref="N3:N21" si="1">K3*(1-0.96737864)</f>
        <v>1058.2369184000015</v>
      </c>
      <c r="O3" s="35">
        <f t="shared" ref="O3:O21" si="2">K3*0.91737864</f>
        <v>29759.763081600002</v>
      </c>
      <c r="P3" s="13">
        <v>0.48</v>
      </c>
      <c r="Q3" s="35">
        <f t="shared" ref="Q3:Q21" si="3">ROUND(O3*P3,2)</f>
        <v>14284.69</v>
      </c>
    </row>
    <row r="4" spans="1:17" s="14" customFormat="1" ht="12.75" x14ac:dyDescent="0.2">
      <c r="A4" s="8">
        <v>3</v>
      </c>
      <c r="B4" s="32" t="s">
        <v>21</v>
      </c>
      <c r="C4" s="34" t="s">
        <v>31</v>
      </c>
      <c r="D4" s="10" t="s">
        <v>17</v>
      </c>
      <c r="E4" s="34">
        <v>50050071</v>
      </c>
      <c r="F4" s="11" t="s">
        <v>18</v>
      </c>
      <c r="G4" s="9" t="s">
        <v>50</v>
      </c>
      <c r="H4" s="9" t="s">
        <v>51</v>
      </c>
      <c r="I4" s="30">
        <v>55</v>
      </c>
      <c r="J4" s="31">
        <v>368</v>
      </c>
      <c r="K4" s="35">
        <v>15819</v>
      </c>
      <c r="L4" s="12">
        <f t="shared" si="0"/>
        <v>790.95</v>
      </c>
      <c r="M4" s="33">
        <v>0.03</v>
      </c>
      <c r="N4" s="35">
        <f t="shared" si="1"/>
        <v>516.03729384000064</v>
      </c>
      <c r="O4" s="35">
        <f t="shared" si="2"/>
        <v>14512.01270616</v>
      </c>
      <c r="P4" s="13">
        <v>0.48</v>
      </c>
      <c r="Q4" s="35">
        <f t="shared" si="3"/>
        <v>6965.77</v>
      </c>
    </row>
    <row r="5" spans="1:17" s="14" customFormat="1" ht="12.75" x14ac:dyDescent="0.2">
      <c r="A5" s="8">
        <v>4</v>
      </c>
      <c r="B5" s="32" t="s">
        <v>25</v>
      </c>
      <c r="C5" s="34" t="s">
        <v>36</v>
      </c>
      <c r="D5" s="10" t="s">
        <v>17</v>
      </c>
      <c r="E5" s="34">
        <v>50050071</v>
      </c>
      <c r="F5" s="11" t="s">
        <v>18</v>
      </c>
      <c r="G5" s="9" t="s">
        <v>50</v>
      </c>
      <c r="H5" s="9" t="s">
        <v>51</v>
      </c>
      <c r="I5" s="30">
        <v>23</v>
      </c>
      <c r="J5" s="31">
        <v>41</v>
      </c>
      <c r="K5" s="35">
        <v>1565</v>
      </c>
      <c r="L5" s="12">
        <f t="shared" si="0"/>
        <v>78.25</v>
      </c>
      <c r="M5" s="33">
        <v>0.03</v>
      </c>
      <c r="N5" s="35">
        <f t="shared" si="1"/>
        <v>51.052428400000068</v>
      </c>
      <c r="O5" s="35">
        <f t="shared" si="2"/>
        <v>1435.6975715999999</v>
      </c>
      <c r="P5" s="13">
        <v>0.48</v>
      </c>
      <c r="Q5" s="35">
        <f t="shared" si="3"/>
        <v>689.13</v>
      </c>
    </row>
    <row r="6" spans="1:17" s="14" customFormat="1" ht="12.75" x14ac:dyDescent="0.2">
      <c r="A6" s="8">
        <v>5</v>
      </c>
      <c r="B6" s="32" t="s">
        <v>23</v>
      </c>
      <c r="C6" s="34" t="s">
        <v>35</v>
      </c>
      <c r="D6" s="10" t="s">
        <v>17</v>
      </c>
      <c r="E6" s="34">
        <v>50050071</v>
      </c>
      <c r="F6" s="11" t="s">
        <v>18</v>
      </c>
      <c r="G6" s="9" t="s">
        <v>50</v>
      </c>
      <c r="H6" s="9" t="s">
        <v>51</v>
      </c>
      <c r="I6" s="30">
        <v>6</v>
      </c>
      <c r="J6" s="31">
        <v>15</v>
      </c>
      <c r="K6" s="35">
        <v>580</v>
      </c>
      <c r="L6" s="12">
        <f t="shared" ref="L6" si="4">K6*0.05</f>
        <v>29</v>
      </c>
      <c r="M6" s="33">
        <v>0.03</v>
      </c>
      <c r="N6" s="35">
        <f t="shared" si="1"/>
        <v>18.920388800000026</v>
      </c>
      <c r="O6" s="35">
        <f t="shared" si="2"/>
        <v>532.07961120000004</v>
      </c>
      <c r="P6" s="13">
        <v>0.48</v>
      </c>
      <c r="Q6" s="35">
        <f t="shared" si="3"/>
        <v>255.4</v>
      </c>
    </row>
    <row r="7" spans="1:17" s="14" customFormat="1" ht="12.75" x14ac:dyDescent="0.2">
      <c r="A7" s="8">
        <v>6</v>
      </c>
      <c r="B7" s="32" t="s">
        <v>28</v>
      </c>
      <c r="C7" s="34" t="s">
        <v>37</v>
      </c>
      <c r="D7" s="10" t="s">
        <v>17</v>
      </c>
      <c r="E7" s="34">
        <v>50050071</v>
      </c>
      <c r="F7" s="11" t="s">
        <v>18</v>
      </c>
      <c r="G7" s="9" t="s">
        <v>50</v>
      </c>
      <c r="H7" s="9" t="s">
        <v>51</v>
      </c>
      <c r="I7" s="30">
        <v>305</v>
      </c>
      <c r="J7" s="31">
        <v>8526</v>
      </c>
      <c r="K7" s="35">
        <v>314875</v>
      </c>
      <c r="L7" s="12">
        <f t="shared" si="0"/>
        <v>15743.75</v>
      </c>
      <c r="M7" s="33">
        <v>0.03</v>
      </c>
      <c r="N7" s="35">
        <f t="shared" si="1"/>
        <v>10271.650730000014</v>
      </c>
      <c r="O7" s="35">
        <f t="shared" si="2"/>
        <v>288859.59927000001</v>
      </c>
      <c r="P7" s="13">
        <v>0.48</v>
      </c>
      <c r="Q7" s="35">
        <f t="shared" si="3"/>
        <v>138652.60999999999</v>
      </c>
    </row>
    <row r="8" spans="1:17" s="14" customFormat="1" ht="12.75" x14ac:dyDescent="0.2">
      <c r="A8" s="8">
        <v>7</v>
      </c>
      <c r="B8" s="32" t="s">
        <v>20</v>
      </c>
      <c r="C8" s="34" t="s">
        <v>30</v>
      </c>
      <c r="D8" s="10" t="s">
        <v>17</v>
      </c>
      <c r="E8" s="34">
        <v>50050071</v>
      </c>
      <c r="F8" s="11" t="s">
        <v>18</v>
      </c>
      <c r="G8" s="9" t="s">
        <v>50</v>
      </c>
      <c r="H8" s="9" t="s">
        <v>51</v>
      </c>
      <c r="I8" s="30">
        <v>43</v>
      </c>
      <c r="J8" s="31">
        <v>197</v>
      </c>
      <c r="K8" s="35">
        <v>9109</v>
      </c>
      <c r="L8" s="12">
        <f t="shared" si="0"/>
        <v>455.45000000000005</v>
      </c>
      <c r="M8" s="33">
        <v>0.03</v>
      </c>
      <c r="N8" s="35">
        <f t="shared" si="1"/>
        <v>297.14796824000041</v>
      </c>
      <c r="O8" s="35">
        <f t="shared" si="2"/>
        <v>8356.4020317600007</v>
      </c>
      <c r="P8" s="13">
        <v>0.48</v>
      </c>
      <c r="Q8" s="35">
        <f t="shared" si="3"/>
        <v>4011.07</v>
      </c>
    </row>
    <row r="9" spans="1:17" s="14" customFormat="1" ht="12.75" x14ac:dyDescent="0.2">
      <c r="A9" s="8">
        <v>8</v>
      </c>
      <c r="B9" s="32" t="s">
        <v>27</v>
      </c>
      <c r="C9" s="34" t="s">
        <v>38</v>
      </c>
      <c r="D9" s="10" t="s">
        <v>17</v>
      </c>
      <c r="E9" s="34">
        <v>50050071</v>
      </c>
      <c r="F9" s="11" t="s">
        <v>18</v>
      </c>
      <c r="G9" s="9" t="s">
        <v>50</v>
      </c>
      <c r="H9" s="9" t="s">
        <v>51</v>
      </c>
      <c r="I9" s="30">
        <v>2</v>
      </c>
      <c r="J9" s="31">
        <v>3</v>
      </c>
      <c r="K9" s="35">
        <v>110</v>
      </c>
      <c r="L9" s="12">
        <f t="shared" si="0"/>
        <v>5.5</v>
      </c>
      <c r="M9" s="33">
        <v>0.03</v>
      </c>
      <c r="N9" s="35">
        <f t="shared" si="1"/>
        <v>3.5883496000000048</v>
      </c>
      <c r="O9" s="35">
        <f t="shared" si="2"/>
        <v>100.9116504</v>
      </c>
      <c r="P9" s="13">
        <v>0.48</v>
      </c>
      <c r="Q9" s="35">
        <f t="shared" si="3"/>
        <v>48.44</v>
      </c>
    </row>
    <row r="10" spans="1:17" s="14" customFormat="1" ht="12.75" x14ac:dyDescent="0.2">
      <c r="A10" s="8">
        <v>9</v>
      </c>
      <c r="B10" s="32" t="s">
        <v>22</v>
      </c>
      <c r="C10" s="34" t="s">
        <v>34</v>
      </c>
      <c r="D10" s="10" t="s">
        <v>17</v>
      </c>
      <c r="E10" s="34">
        <v>50050071</v>
      </c>
      <c r="F10" s="11" t="s">
        <v>18</v>
      </c>
      <c r="G10" s="9" t="s">
        <v>50</v>
      </c>
      <c r="H10" s="9" t="s">
        <v>51</v>
      </c>
      <c r="I10" s="30">
        <v>2</v>
      </c>
      <c r="J10" s="31">
        <v>2</v>
      </c>
      <c r="K10" s="35">
        <v>80</v>
      </c>
      <c r="L10" s="12">
        <f t="shared" si="0"/>
        <v>4</v>
      </c>
      <c r="M10" s="33">
        <v>0.03</v>
      </c>
      <c r="N10" s="35">
        <f t="shared" si="1"/>
        <v>2.6097088000000035</v>
      </c>
      <c r="O10" s="35">
        <f t="shared" si="2"/>
        <v>73.390291200000007</v>
      </c>
      <c r="P10" s="13">
        <v>0.48</v>
      </c>
      <c r="Q10" s="35">
        <f t="shared" si="3"/>
        <v>35.229999999999997</v>
      </c>
    </row>
    <row r="11" spans="1:17" s="14" customFormat="1" ht="25.5" x14ac:dyDescent="0.2">
      <c r="A11" s="8">
        <v>10</v>
      </c>
      <c r="B11" s="32" t="s">
        <v>39</v>
      </c>
      <c r="C11" s="34" t="s">
        <v>58</v>
      </c>
      <c r="D11" s="10" t="s">
        <v>17</v>
      </c>
      <c r="E11" s="34">
        <v>50050071</v>
      </c>
      <c r="F11" s="11" t="s">
        <v>18</v>
      </c>
      <c r="G11" s="9" t="s">
        <v>50</v>
      </c>
      <c r="H11" s="9" t="s">
        <v>51</v>
      </c>
      <c r="I11" s="30">
        <v>22</v>
      </c>
      <c r="J11" s="31">
        <v>30</v>
      </c>
      <c r="K11" s="35">
        <v>1132</v>
      </c>
      <c r="L11" s="12">
        <f t="shared" si="0"/>
        <v>56.6</v>
      </c>
      <c r="M11" s="33">
        <v>0.03</v>
      </c>
      <c r="N11" s="35">
        <f t="shared" si="1"/>
        <v>36.927379520000052</v>
      </c>
      <c r="O11" s="35">
        <f t="shared" si="2"/>
        <v>1038.4726204799999</v>
      </c>
      <c r="P11" s="13">
        <v>0.48</v>
      </c>
      <c r="Q11" s="35">
        <f t="shared" si="3"/>
        <v>498.47</v>
      </c>
    </row>
    <row r="12" spans="1:17" s="14" customFormat="1" ht="12.75" x14ac:dyDescent="0.2">
      <c r="A12" s="8">
        <v>11</v>
      </c>
      <c r="B12" s="32" t="s">
        <v>40</v>
      </c>
      <c r="C12" s="34" t="s">
        <v>52</v>
      </c>
      <c r="D12" s="10" t="s">
        <v>17</v>
      </c>
      <c r="E12" s="34">
        <v>50050071</v>
      </c>
      <c r="F12" s="11" t="s">
        <v>18</v>
      </c>
      <c r="G12" s="9" t="s">
        <v>50</v>
      </c>
      <c r="H12" s="9" t="s">
        <v>51</v>
      </c>
      <c r="I12" s="30">
        <v>152</v>
      </c>
      <c r="J12" s="31">
        <v>3205</v>
      </c>
      <c r="K12" s="35">
        <v>122400</v>
      </c>
      <c r="L12" s="12">
        <f t="shared" si="0"/>
        <v>6120</v>
      </c>
      <c r="M12" s="33">
        <v>0.03</v>
      </c>
      <c r="N12" s="35">
        <f t="shared" si="1"/>
        <v>3992.8544640000055</v>
      </c>
      <c r="O12" s="35">
        <f t="shared" si="2"/>
        <v>112287.145536</v>
      </c>
      <c r="P12" s="13">
        <v>0.48</v>
      </c>
      <c r="Q12" s="35">
        <f t="shared" si="3"/>
        <v>53897.83</v>
      </c>
    </row>
    <row r="13" spans="1:17" s="14" customFormat="1" ht="12.75" x14ac:dyDescent="0.2">
      <c r="A13" s="8">
        <v>12</v>
      </c>
      <c r="B13" s="32" t="s">
        <v>41</v>
      </c>
      <c r="C13" s="34" t="s">
        <v>56</v>
      </c>
      <c r="D13" s="10" t="s">
        <v>17</v>
      </c>
      <c r="E13" s="34">
        <v>50050071</v>
      </c>
      <c r="F13" s="11" t="s">
        <v>18</v>
      </c>
      <c r="G13" s="9" t="s">
        <v>50</v>
      </c>
      <c r="H13" s="9" t="s">
        <v>51</v>
      </c>
      <c r="I13" s="30">
        <v>18</v>
      </c>
      <c r="J13" s="31">
        <v>139</v>
      </c>
      <c r="K13" s="35">
        <v>5520</v>
      </c>
      <c r="L13" s="12">
        <f t="shared" si="0"/>
        <v>276</v>
      </c>
      <c r="M13" s="33">
        <v>0.03</v>
      </c>
      <c r="N13" s="35">
        <f t="shared" si="1"/>
        <v>180.06990720000024</v>
      </c>
      <c r="O13" s="35">
        <f t="shared" si="2"/>
        <v>5063.9300928000002</v>
      </c>
      <c r="P13" s="13">
        <v>0.48</v>
      </c>
      <c r="Q13" s="35">
        <f t="shared" si="3"/>
        <v>2430.69</v>
      </c>
    </row>
    <row r="14" spans="1:17" s="14" customFormat="1" ht="12.75" x14ac:dyDescent="0.2">
      <c r="A14" s="8">
        <v>13</v>
      </c>
      <c r="B14" s="32" t="s">
        <v>42</v>
      </c>
      <c r="C14" s="34" t="s">
        <v>57</v>
      </c>
      <c r="D14" s="10" t="s">
        <v>17</v>
      </c>
      <c r="E14" s="34">
        <v>50050071</v>
      </c>
      <c r="F14" s="11" t="s">
        <v>18</v>
      </c>
      <c r="G14" s="9" t="s">
        <v>50</v>
      </c>
      <c r="H14" s="9" t="s">
        <v>51</v>
      </c>
      <c r="I14" s="30">
        <v>8</v>
      </c>
      <c r="J14" s="31">
        <v>4</v>
      </c>
      <c r="K14" s="35">
        <v>155</v>
      </c>
      <c r="L14" s="12">
        <f t="shared" si="0"/>
        <v>7.75</v>
      </c>
      <c r="M14" s="33">
        <v>0.03</v>
      </c>
      <c r="N14" s="35">
        <f t="shared" si="1"/>
        <v>5.0563108000000065</v>
      </c>
      <c r="O14" s="35">
        <f t="shared" si="2"/>
        <v>142.19368919999999</v>
      </c>
      <c r="P14" s="13">
        <v>0.48</v>
      </c>
      <c r="Q14" s="35">
        <f t="shared" si="3"/>
        <v>68.25</v>
      </c>
    </row>
    <row r="15" spans="1:17" s="14" customFormat="1" ht="12.75" x14ac:dyDescent="0.2">
      <c r="A15" s="8">
        <v>14</v>
      </c>
      <c r="B15" s="32" t="s">
        <v>43</v>
      </c>
      <c r="C15" s="34" t="s">
        <v>53</v>
      </c>
      <c r="D15" s="10" t="s">
        <v>17</v>
      </c>
      <c r="E15" s="34">
        <v>50050071</v>
      </c>
      <c r="F15" s="11" t="s">
        <v>18</v>
      </c>
      <c r="G15" s="9" t="s">
        <v>50</v>
      </c>
      <c r="H15" s="9" t="s">
        <v>51</v>
      </c>
      <c r="I15" s="30">
        <v>156</v>
      </c>
      <c r="J15" s="31">
        <v>2611</v>
      </c>
      <c r="K15" s="35">
        <v>97734</v>
      </c>
      <c r="L15" s="12">
        <f t="shared" si="0"/>
        <v>4886.7</v>
      </c>
      <c r="M15" s="33">
        <v>0.03</v>
      </c>
      <c r="N15" s="35">
        <f t="shared" si="1"/>
        <v>3188.2159982400044</v>
      </c>
      <c r="O15" s="35">
        <f t="shared" si="2"/>
        <v>89659.084001759999</v>
      </c>
      <c r="P15" s="13">
        <v>0.48</v>
      </c>
      <c r="Q15" s="35">
        <f t="shared" si="3"/>
        <v>43036.36</v>
      </c>
    </row>
    <row r="16" spans="1:17" s="14" customFormat="1" ht="12.75" x14ac:dyDescent="0.2">
      <c r="A16" s="8">
        <v>15</v>
      </c>
      <c r="B16" s="32" t="s">
        <v>44</v>
      </c>
      <c r="C16" s="34" t="s">
        <v>54</v>
      </c>
      <c r="D16" s="10" t="s">
        <v>17</v>
      </c>
      <c r="E16" s="34">
        <v>50050071</v>
      </c>
      <c r="F16" s="11" t="s">
        <v>18</v>
      </c>
      <c r="G16" s="9" t="s">
        <v>50</v>
      </c>
      <c r="H16" s="9" t="s">
        <v>51</v>
      </c>
      <c r="I16" s="30">
        <v>60</v>
      </c>
      <c r="J16" s="31">
        <v>1281</v>
      </c>
      <c r="K16" s="35">
        <v>54225</v>
      </c>
      <c r="L16" s="12">
        <f t="shared" si="0"/>
        <v>2711.25</v>
      </c>
      <c r="M16" s="33">
        <v>0.03</v>
      </c>
      <c r="N16" s="35">
        <f t="shared" si="1"/>
        <v>1768.8932460000024</v>
      </c>
      <c r="O16" s="35">
        <f t="shared" si="2"/>
        <v>49744.856754</v>
      </c>
      <c r="P16" s="13">
        <v>0.48</v>
      </c>
      <c r="Q16" s="35">
        <f t="shared" si="3"/>
        <v>23877.53</v>
      </c>
    </row>
    <row r="17" spans="1:17" s="14" customFormat="1" ht="12.75" x14ac:dyDescent="0.2">
      <c r="A17" s="8">
        <v>16</v>
      </c>
      <c r="B17" s="32" t="s">
        <v>45</v>
      </c>
      <c r="C17" s="34" t="s">
        <v>60</v>
      </c>
      <c r="D17" s="10" t="s">
        <v>17</v>
      </c>
      <c r="E17" s="34">
        <v>50050071</v>
      </c>
      <c r="F17" s="11" t="s">
        <v>18</v>
      </c>
      <c r="G17" s="9" t="s">
        <v>50</v>
      </c>
      <c r="H17" s="9" t="s">
        <v>51</v>
      </c>
      <c r="I17" s="30">
        <v>8</v>
      </c>
      <c r="J17" s="31">
        <v>1</v>
      </c>
      <c r="K17" s="35">
        <v>40</v>
      </c>
      <c r="L17" s="12">
        <f t="shared" si="0"/>
        <v>2</v>
      </c>
      <c r="M17" s="33">
        <v>0.03</v>
      </c>
      <c r="N17" s="35">
        <f t="shared" si="1"/>
        <v>1.3048544000000017</v>
      </c>
      <c r="O17" s="35">
        <f t="shared" si="2"/>
        <v>36.695145600000004</v>
      </c>
      <c r="P17" s="13">
        <v>0.48</v>
      </c>
      <c r="Q17" s="35">
        <f t="shared" si="3"/>
        <v>17.61</v>
      </c>
    </row>
    <row r="18" spans="1:17" s="14" customFormat="1" ht="12.75" x14ac:dyDescent="0.2">
      <c r="A18" s="8">
        <v>17</v>
      </c>
      <c r="B18" s="32" t="s">
        <v>46</v>
      </c>
      <c r="C18" s="34" t="s">
        <v>59</v>
      </c>
      <c r="D18" s="10" t="s">
        <v>17</v>
      </c>
      <c r="E18" s="34">
        <v>50050071</v>
      </c>
      <c r="F18" s="11" t="s">
        <v>18</v>
      </c>
      <c r="G18" s="9" t="s">
        <v>50</v>
      </c>
      <c r="H18" s="9" t="s">
        <v>51</v>
      </c>
      <c r="I18" s="30">
        <v>11</v>
      </c>
      <c r="J18" s="31">
        <v>30</v>
      </c>
      <c r="K18" s="35">
        <v>1235</v>
      </c>
      <c r="L18" s="12">
        <f t="shared" si="0"/>
        <v>61.75</v>
      </c>
      <c r="M18" s="33">
        <v>0.03</v>
      </c>
      <c r="N18" s="35">
        <f t="shared" si="1"/>
        <v>40.287379600000051</v>
      </c>
      <c r="O18" s="35">
        <f t="shared" si="2"/>
        <v>1132.9626204000001</v>
      </c>
      <c r="P18" s="13">
        <v>0.48</v>
      </c>
      <c r="Q18" s="35">
        <f t="shared" si="3"/>
        <v>543.82000000000005</v>
      </c>
    </row>
    <row r="19" spans="1:17" s="14" customFormat="1" ht="12.75" x14ac:dyDescent="0.2">
      <c r="A19" s="8">
        <v>18</v>
      </c>
      <c r="B19" s="32" t="s">
        <v>47</v>
      </c>
      <c r="C19" s="34" t="s">
        <v>61</v>
      </c>
      <c r="D19" s="10" t="s">
        <v>29</v>
      </c>
      <c r="E19" s="34">
        <v>50050071</v>
      </c>
      <c r="F19" s="11" t="s">
        <v>18</v>
      </c>
      <c r="G19" s="9" t="s">
        <v>50</v>
      </c>
      <c r="H19" s="9" t="s">
        <v>51</v>
      </c>
      <c r="I19" s="30">
        <v>8</v>
      </c>
      <c r="J19" s="31">
        <v>6</v>
      </c>
      <c r="K19" s="35">
        <v>180</v>
      </c>
      <c r="L19" s="12">
        <f t="shared" si="0"/>
        <v>9</v>
      </c>
      <c r="M19" s="33">
        <v>0.03</v>
      </c>
      <c r="N19" s="35">
        <f t="shared" si="1"/>
        <v>5.8718448000000079</v>
      </c>
      <c r="O19" s="35">
        <f t="shared" si="2"/>
        <v>165.12815520000001</v>
      </c>
      <c r="P19" s="13">
        <v>0.48</v>
      </c>
      <c r="Q19" s="35">
        <f t="shared" si="3"/>
        <v>79.260000000000005</v>
      </c>
    </row>
    <row r="20" spans="1:17" s="14" customFormat="1" ht="12.75" x14ac:dyDescent="0.2">
      <c r="A20" s="8">
        <v>19</v>
      </c>
      <c r="B20" s="32" t="s">
        <v>48</v>
      </c>
      <c r="C20" s="34" t="s">
        <v>62</v>
      </c>
      <c r="D20" s="10" t="s">
        <v>29</v>
      </c>
      <c r="E20" s="34">
        <v>50050071</v>
      </c>
      <c r="F20" s="11" t="s">
        <v>18</v>
      </c>
      <c r="G20" s="9" t="s">
        <v>50</v>
      </c>
      <c r="H20" s="9" t="s">
        <v>51</v>
      </c>
      <c r="I20" s="30">
        <v>4</v>
      </c>
      <c r="J20" s="31">
        <v>14</v>
      </c>
      <c r="K20" s="35">
        <v>545</v>
      </c>
      <c r="L20" s="12">
        <f t="shared" si="0"/>
        <v>27.25</v>
      </c>
      <c r="M20" s="33">
        <v>0.03</v>
      </c>
      <c r="N20" s="35">
        <f t="shared" si="1"/>
        <v>17.778641200000024</v>
      </c>
      <c r="O20" s="35">
        <f t="shared" si="2"/>
        <v>499.97135880000002</v>
      </c>
      <c r="P20" s="13">
        <v>0.48</v>
      </c>
      <c r="Q20" s="35">
        <f t="shared" si="3"/>
        <v>239.99</v>
      </c>
    </row>
    <row r="21" spans="1:17" s="14" customFormat="1" ht="12.75" x14ac:dyDescent="0.2">
      <c r="A21" s="8">
        <v>20</v>
      </c>
      <c r="B21" s="32" t="s">
        <v>49</v>
      </c>
      <c r="C21" s="34" t="s">
        <v>55</v>
      </c>
      <c r="D21" s="10" t="s">
        <v>29</v>
      </c>
      <c r="E21" s="34">
        <v>50050071</v>
      </c>
      <c r="F21" s="11" t="s">
        <v>18</v>
      </c>
      <c r="G21" s="9" t="s">
        <v>50</v>
      </c>
      <c r="H21" s="9" t="s">
        <v>51</v>
      </c>
      <c r="I21" s="30">
        <v>102</v>
      </c>
      <c r="J21" s="31">
        <v>4020</v>
      </c>
      <c r="K21" s="35">
        <v>144058</v>
      </c>
      <c r="L21" s="12">
        <f t="shared" si="0"/>
        <v>7202.9000000000005</v>
      </c>
      <c r="M21" s="33">
        <v>0.03</v>
      </c>
      <c r="N21" s="35">
        <f t="shared" si="1"/>
        <v>4699.3678788800062</v>
      </c>
      <c r="O21" s="35">
        <f t="shared" si="2"/>
        <v>132155.73212112</v>
      </c>
      <c r="P21" s="13">
        <v>0.48</v>
      </c>
      <c r="Q21" s="35">
        <f t="shared" si="3"/>
        <v>63434.75</v>
      </c>
    </row>
    <row r="22" spans="1:17" s="20" customFormat="1" x14ac:dyDescent="0.15">
      <c r="A22" s="15"/>
      <c r="B22" s="16" t="s">
        <v>19</v>
      </c>
      <c r="C22" s="17"/>
      <c r="D22" s="17"/>
      <c r="E22" s="17"/>
      <c r="F22" s="17"/>
      <c r="G22" s="18"/>
      <c r="H22" s="18"/>
      <c r="I22" s="35"/>
      <c r="J22" s="19"/>
      <c r="K22" s="35">
        <f>SUM(K2:K21)</f>
        <v>806698</v>
      </c>
      <c r="L22" s="35">
        <f>SUM(L2:L21)</f>
        <v>40334.9</v>
      </c>
      <c r="M22" s="19"/>
      <c r="N22" s="35">
        <f>SUM(N2:N21)</f>
        <v>26315.585869280036</v>
      </c>
      <c r="O22" s="35">
        <f>SUM(O2:O21)</f>
        <v>740047.51413072005</v>
      </c>
      <c r="P22" s="35"/>
      <c r="Q22" s="35">
        <f>SUM(Q2:Q21)</f>
        <v>355222.81</v>
      </c>
    </row>
    <row r="23" spans="1:17" s="20" customFormat="1" x14ac:dyDescent="0.15">
      <c r="B23" s="21"/>
      <c r="C23" s="21"/>
      <c r="D23" s="21"/>
      <c r="E23" s="21"/>
      <c r="F23" s="21"/>
      <c r="G23" s="22"/>
      <c r="H23" s="22"/>
      <c r="I23" s="21"/>
      <c r="J23" s="21"/>
      <c r="K23" s="23"/>
      <c r="L23" s="23"/>
      <c r="M23" s="23"/>
      <c r="N23" s="23"/>
      <c r="O23" s="23"/>
      <c r="P23" s="24"/>
    </row>
    <row r="25" spans="1:17" x14ac:dyDescent="0.15">
      <c r="F25" s="26"/>
    </row>
  </sheetData>
  <protectedRanges>
    <protectedRange sqref="A22:XFD1048576 A2:B21 D2:XFD21" name="区域1"/>
  </protectedRanges>
  <phoneticPr fontId="3" type="noConversion"/>
  <pageMargins left="0.7" right="0.7" top="0.75" bottom="0.75" header="0.3" footer="0.3"/>
  <pageSetup paperSize="9" scale="61" orientation="landscape" r:id="rId1"/>
  <customProperties>
    <customPr name="BudgetSheetCodeName" r:id="rId2"/>
  </customProperties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2018-08-01T03:02:33Z</dcterms:modified>
</cp:coreProperties>
</file>