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7月结算表" sheetId="1" r:id="rId1"/>
  </sheets>
  <definedNames>
    <definedName name="_xlnm._FilterDatabase" localSheetId="0" hidden="1">'7月结算表'!$C$2:$C$53</definedName>
  </definedNames>
  <calcPr calcId="152511"/>
</workbook>
</file>

<file path=xl/calcChain.xml><?xml version="1.0" encoding="utf-8"?>
<calcChain xmlns="http://schemas.openxmlformats.org/spreadsheetml/2006/main">
  <c r="K54" i="1" l="1"/>
  <c r="O53" i="1" l="1"/>
  <c r="L43" i="1" l="1"/>
  <c r="N43" i="1"/>
  <c r="O43" i="1"/>
  <c r="Q43" i="1" s="1"/>
  <c r="O10" i="1" l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Q53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4" i="1"/>
  <c r="N45" i="1"/>
  <c r="N46" i="1"/>
  <c r="N47" i="1"/>
  <c r="N48" i="1"/>
  <c r="N49" i="1"/>
  <c r="N50" i="1"/>
  <c r="N51" i="1"/>
  <c r="N52" i="1"/>
  <c r="N5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3" i="1"/>
  <c r="O9" i="1" l="1"/>
  <c r="Q9" i="1" s="1"/>
  <c r="N9" i="1"/>
  <c r="O8" i="1"/>
  <c r="Q8" i="1" s="1"/>
  <c r="N8" i="1"/>
  <c r="O7" i="1"/>
  <c r="Q7" i="1" s="1"/>
  <c r="N7" i="1"/>
  <c r="O6" i="1"/>
  <c r="Q6" i="1" s="1"/>
  <c r="N6" i="1"/>
  <c r="O5" i="1"/>
  <c r="Q5" i="1" s="1"/>
  <c r="N5" i="1"/>
  <c r="O4" i="1"/>
  <c r="Q4" i="1" s="1"/>
  <c r="N4" i="1"/>
  <c r="O3" i="1"/>
  <c r="Q3" i="1" s="1"/>
  <c r="N3" i="1"/>
  <c r="O2" i="1"/>
  <c r="N2" i="1"/>
  <c r="L2" i="1"/>
  <c r="O54" i="1" l="1"/>
  <c r="N54" i="1"/>
  <c r="Q2" i="1"/>
  <c r="Q54" i="1" s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/>
    </comment>
  </commentList>
</comments>
</file>

<file path=xl/sharedStrings.xml><?xml version="1.0" encoding="utf-8"?>
<sst xmlns="http://schemas.openxmlformats.org/spreadsheetml/2006/main" count="389" uniqueCount="115">
  <si>
    <t>序号</t>
  </si>
  <si>
    <t>影片编码</t>
  </si>
  <si>
    <t>开始日期</t>
    <phoneticPr fontId="3" type="noConversion"/>
  </si>
  <si>
    <t>结束日期</t>
    <phoneticPr fontId="3" type="noConversion"/>
  </si>
  <si>
    <t>总场次</t>
    <phoneticPr fontId="3" type="noConversion"/>
  </si>
  <si>
    <t>总人次</t>
    <phoneticPr fontId="3" type="noConversion"/>
  </si>
  <si>
    <t>总票房</t>
    <phoneticPr fontId="3" type="noConversion"/>
  </si>
  <si>
    <t>税金</t>
    <phoneticPr fontId="3" type="noConversion"/>
  </si>
  <si>
    <t>净票房</t>
    <phoneticPr fontId="3" type="noConversion"/>
  </si>
  <si>
    <t>分账比例</t>
    <phoneticPr fontId="3" type="noConversion"/>
  </si>
  <si>
    <t>分账片款</t>
    <phoneticPr fontId="3" type="noConversion"/>
  </si>
  <si>
    <t>51010331</t>
  </si>
  <si>
    <t>设备归属</t>
    <phoneticPr fontId="3" type="noConversion"/>
  </si>
  <si>
    <r>
      <rPr>
        <sz val="9"/>
        <rFont val="宋体"/>
        <family val="3"/>
        <charset val="134"/>
      </rPr>
      <t>中影设备</t>
    </r>
  </si>
  <si>
    <r>
      <rPr>
        <sz val="10"/>
        <rFont val="宋体"/>
        <family val="3"/>
        <charset val="134"/>
      </rPr>
      <t>四川思远影业有限公司大邑店</t>
    </r>
  </si>
  <si>
    <t>影片名称</t>
    <phoneticPr fontId="3" type="noConversion"/>
  </si>
  <si>
    <t>影院名称</t>
    <phoneticPr fontId="3" type="noConversion"/>
  </si>
  <si>
    <t>影院编码</t>
    <phoneticPr fontId="3" type="noConversion"/>
  </si>
  <si>
    <t>电影专项基金</t>
    <phoneticPr fontId="3" type="noConversion"/>
  </si>
  <si>
    <t>增值税率</t>
    <phoneticPr fontId="3" type="noConversion"/>
  </si>
  <si>
    <t>合计</t>
    <phoneticPr fontId="1" type="noConversion"/>
  </si>
  <si>
    <t>姽婳（2D）</t>
  </si>
  <si>
    <t>超人总动员2（3D）</t>
  </si>
  <si>
    <t>超时空同居（2D）</t>
  </si>
  <si>
    <t>第七个小矮人（2D）</t>
  </si>
  <si>
    <t>动物世界（3D）</t>
  </si>
  <si>
    <t>龙虾刑警（2D）</t>
  </si>
  <si>
    <t>猛虫过江（2D）</t>
  </si>
  <si>
    <t>时间监狱（2D）</t>
  </si>
  <si>
    <t>泄密者（2D）</t>
  </si>
  <si>
    <t>侏罗纪世界2（3D）</t>
  </si>
  <si>
    <t>最后一球（2D）</t>
  </si>
  <si>
    <t>完美陌生人（2D）</t>
  </si>
  <si>
    <t>阿飞正传（2D）</t>
  </si>
  <si>
    <t>暹罗决：九神战甲（2D）</t>
  </si>
  <si>
    <t>厕所英雄（2D）</t>
  </si>
  <si>
    <t>凤凰城遗忘录（2D）</t>
  </si>
  <si>
    <t>复仇者联盟3：无限战争（3D）</t>
  </si>
  <si>
    <t>寂静之地（2D）</t>
  </si>
  <si>
    <t>动物世界（巨幕3D）</t>
  </si>
  <si>
    <t>生存家族（2D日语）</t>
  </si>
  <si>
    <t>7</t>
  </si>
  <si>
    <t>44</t>
  </si>
  <si>
    <t>2</t>
  </si>
  <si>
    <t>24</t>
  </si>
  <si>
    <t>13</t>
  </si>
  <si>
    <t>10</t>
  </si>
  <si>
    <t>58</t>
  </si>
  <si>
    <t>46</t>
  </si>
  <si>
    <t>33</t>
  </si>
  <si>
    <t>1</t>
  </si>
  <si>
    <t>100</t>
  </si>
  <si>
    <t>219</t>
  </si>
  <si>
    <t>15</t>
  </si>
  <si>
    <t>16</t>
  </si>
  <si>
    <t>6</t>
  </si>
  <si>
    <t>30</t>
  </si>
  <si>
    <t>74</t>
  </si>
  <si>
    <t>20</t>
  </si>
  <si>
    <t>3</t>
  </si>
  <si>
    <t>47</t>
  </si>
  <si>
    <t>160</t>
  </si>
  <si>
    <t>34</t>
  </si>
  <si>
    <t>17</t>
  </si>
  <si>
    <t>21</t>
  </si>
  <si>
    <t>4</t>
  </si>
  <si>
    <t>8</t>
  </si>
  <si>
    <t>468</t>
  </si>
  <si>
    <t>53</t>
  </si>
  <si>
    <t>110</t>
  </si>
  <si>
    <t>23</t>
  </si>
  <si>
    <t>218</t>
  </si>
  <si>
    <t>18</t>
  </si>
  <si>
    <t>98</t>
  </si>
  <si>
    <t>181</t>
  </si>
  <si>
    <t>12</t>
  </si>
  <si>
    <t>2018-07-01</t>
  </si>
  <si>
    <t>2018-07-01</t>
    <phoneticPr fontId="3" type="noConversion"/>
  </si>
  <si>
    <t>2018-07-31</t>
  </si>
  <si>
    <t>2018-07-31</t>
    <phoneticPr fontId="3" type="noConversion"/>
  </si>
  <si>
    <t>001l03342018</t>
  </si>
  <si>
    <t>001c05272018</t>
  </si>
  <si>
    <t>001c05332018</t>
  </si>
  <si>
    <t>001c05642018</t>
  </si>
  <si>
    <t>001c03982018</t>
  </si>
  <si>
    <t>001b03562018</t>
  </si>
  <si>
    <t>001l05482017</t>
  </si>
  <si>
    <t>阿修罗（2D）</t>
  </si>
  <si>
    <t>阿修罗（3D）</t>
  </si>
  <si>
    <t>北方一片苍茫（2D）</t>
  </si>
  <si>
    <t>出·路（2D）</t>
  </si>
  <si>
    <t>狄仁杰之四大天王（3D）</t>
  </si>
  <si>
    <t>风语咒（3D）</t>
  </si>
  <si>
    <t>美丽童年（2D）</t>
  </si>
  <si>
    <t>神秘世界历险记4（3D）</t>
  </si>
  <si>
    <t>神奇马戏团之动物饼干（3D）</t>
  </si>
  <si>
    <t>淘气大侦探（3D）</t>
  </si>
  <si>
    <t>汪星卧底（2D）</t>
  </si>
  <si>
    <t>我不是药神（巨幕2D）</t>
  </si>
  <si>
    <t>西虹市首富（2D）</t>
  </si>
  <si>
    <t>西虹市首富（巨幕2D）</t>
  </si>
  <si>
    <t>小悟空（3D）</t>
  </si>
  <si>
    <t>邪不压正（2D）</t>
  </si>
  <si>
    <t>邪不压正（巨幕2D）</t>
  </si>
  <si>
    <t>新大头儿子和小头爸爸3俄罗斯奇遇记（2D）</t>
  </si>
  <si>
    <t>兄弟班（2D）</t>
  </si>
  <si>
    <t>摩天营救（3D）</t>
  </si>
  <si>
    <t>摩天营救（巨幕3D）</t>
  </si>
  <si>
    <r>
      <rPr>
        <sz val="10"/>
        <rFont val="宋体"/>
        <family val="3"/>
        <charset val="134"/>
      </rPr>
      <t>您一定不要错过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内蒙古民族电影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年</t>
    </r>
    <phoneticPr fontId="1" type="noConversion"/>
  </si>
  <si>
    <r>
      <rPr>
        <sz val="10"/>
        <rFont val="宋体"/>
        <family val="3"/>
        <charset val="134"/>
      </rPr>
      <t>金蝉脱壳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：冥府（</t>
    </r>
    <r>
      <rPr>
        <sz val="10"/>
        <rFont val="Arial"/>
        <family val="2"/>
      </rPr>
      <t>2D</t>
    </r>
    <r>
      <rPr>
        <sz val="10"/>
        <rFont val="宋体"/>
        <family val="3"/>
        <charset val="134"/>
      </rPr>
      <t>）</t>
    </r>
    <phoneticPr fontId="1" type="noConversion"/>
  </si>
  <si>
    <r>
      <rPr>
        <sz val="10"/>
        <rFont val="宋体"/>
        <family val="3"/>
        <charset val="134"/>
      </rPr>
      <t>闺蜜的战争（</t>
    </r>
    <r>
      <rPr>
        <sz val="10"/>
        <rFont val="Arial"/>
        <family val="2"/>
      </rPr>
      <t>2D</t>
    </r>
    <r>
      <rPr>
        <sz val="10"/>
        <rFont val="宋体"/>
        <family val="3"/>
        <charset val="134"/>
      </rPr>
      <t>）</t>
    </r>
    <phoneticPr fontId="1" type="noConversion"/>
  </si>
  <si>
    <t>格桑花开的时候（2D）</t>
    <phoneticPr fontId="1" type="noConversion"/>
  </si>
  <si>
    <r>
      <rPr>
        <sz val="10"/>
        <rFont val="宋体"/>
        <family val="3"/>
        <charset val="134"/>
      </rPr>
      <t>萌学园：寻找盘古（</t>
    </r>
    <r>
      <rPr>
        <sz val="10"/>
        <rFont val="Arial"/>
        <family val="2"/>
      </rPr>
      <t>2D</t>
    </r>
    <r>
      <rPr>
        <sz val="10"/>
        <rFont val="宋体"/>
        <family val="3"/>
        <charset val="134"/>
      </rPr>
      <t>）</t>
    </r>
    <phoneticPr fontId="1" type="noConversion"/>
  </si>
  <si>
    <r>
      <rPr>
        <sz val="10"/>
        <rFont val="宋体"/>
        <family val="3"/>
        <charset val="134"/>
      </rPr>
      <t>我不是药神（</t>
    </r>
    <r>
      <rPr>
        <sz val="10"/>
        <rFont val="Arial"/>
        <family val="2"/>
      </rPr>
      <t>2D</t>
    </r>
    <r>
      <rPr>
        <sz val="10"/>
        <rFont val="宋体"/>
        <family val="3"/>
        <charset val="134"/>
      </rPr>
      <t>）</t>
    </r>
    <phoneticPr fontId="1" type="noConversion"/>
  </si>
  <si>
    <r>
      <rPr>
        <sz val="10"/>
        <rFont val="宋体"/>
        <family val="3"/>
        <charset val="134"/>
      </rPr>
      <t>细思极恐（</t>
    </r>
    <r>
      <rPr>
        <sz val="10"/>
        <rFont val="Arial"/>
        <family val="2"/>
      </rPr>
      <t>2D</t>
    </r>
    <r>
      <rPr>
        <sz val="10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</si>
</sst>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_ "/>
    <numFmt numFmtId="178" formatCode="0.0"/>
  </numFmts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 tint="0.249977111117893"/>
      <name val="宋体"/>
      <family val="3"/>
      <charset val="134"/>
    </font>
    <font>
      <sz val="9"/>
      <name val="宋体"/>
      <family val="3"/>
      <charset val="134"/>
    </font>
    <font>
      <sz val="10"/>
      <color theme="1" tint="0.249977111117893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2"/>
      <color theme="1" tint="0.249977111117893"/>
      <name val="Arial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2" fillId="2" borderId="1" xfId="0" applyNumberFormat="1" applyFont="1" applyFill="1" applyBorder="1" applyAlignment="1" applyProtection="1">
      <alignment horizontal="center" wrapText="1"/>
    </xf>
    <xf numFmtId="14" fontId="2" fillId="2" borderId="1" xfId="0" applyNumberFormat="1" applyFont="1" applyFill="1" applyBorder="1" applyAlignment="1" applyProtection="1">
      <alignment horizontal="center" wrapText="1"/>
    </xf>
    <xf numFmtId="176" fontId="2" fillId="2" borderId="1" xfId="0" applyNumberFormat="1" applyFont="1" applyFill="1" applyBorder="1" applyAlignment="1" applyProtection="1">
      <alignment horizontal="center" wrapText="1"/>
    </xf>
    <xf numFmtId="177" fontId="2" fillId="2" borderId="1" xfId="0" applyNumberFormat="1" applyFont="1" applyFill="1" applyBorder="1" applyAlignment="1" applyProtection="1">
      <alignment horizontal="center" wrapText="1"/>
    </xf>
    <xf numFmtId="0" fontId="4" fillId="0" borderId="0" xfId="0" applyFont="1"/>
    <xf numFmtId="4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/>
    <xf numFmtId="176" fontId="5" fillId="0" borderId="2" xfId="0" applyNumberFormat="1" applyFont="1" applyFill="1" applyBorder="1" applyAlignment="1">
      <alignment horizontal="right" vertical="center"/>
    </xf>
    <xf numFmtId="176" fontId="5" fillId="0" borderId="3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right" vertical="center"/>
    </xf>
    <xf numFmtId="0" fontId="0" fillId="0" borderId="0" xfId="0" applyFill="1"/>
    <xf numFmtId="49" fontId="0" fillId="0" borderId="0" xfId="0" applyNumberFormat="1"/>
    <xf numFmtId="14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1" xfId="0" applyFont="1" applyBorder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49" fontId="8" fillId="0" borderId="6" xfId="0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11" fillId="2" borderId="1" xfId="0" applyFont="1" applyFill="1" applyBorder="1" applyAlignment="1" applyProtection="1">
      <alignment horizontal="center" wrapText="1"/>
    </xf>
    <xf numFmtId="49" fontId="11" fillId="2" borderId="1" xfId="0" applyNumberFormat="1" applyFont="1" applyFill="1" applyBorder="1" applyAlignment="1" applyProtection="1">
      <alignment horizontal="center" wrapText="1"/>
    </xf>
    <xf numFmtId="176" fontId="10" fillId="0" borderId="1" xfId="0" applyNumberFormat="1" applyFont="1" applyFill="1" applyBorder="1" applyAlignment="1">
      <alignment horizontal="right" vertical="center"/>
    </xf>
    <xf numFmtId="49" fontId="8" fillId="0" borderId="4" xfId="0" applyNumberFormat="1" applyFont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14" fontId="8" fillId="0" borderId="4" xfId="0" applyNumberFormat="1" applyFont="1" applyBorder="1"/>
    <xf numFmtId="49" fontId="8" fillId="0" borderId="4" xfId="0" applyNumberFormat="1" applyFont="1" applyBorder="1"/>
    <xf numFmtId="176" fontId="8" fillId="0" borderId="4" xfId="0" applyNumberFormat="1" applyFont="1" applyBorder="1"/>
    <xf numFmtId="177" fontId="8" fillId="0" borderId="4" xfId="0" applyNumberFormat="1" applyFont="1" applyBorder="1"/>
    <xf numFmtId="0" fontId="12" fillId="0" borderId="4" xfId="0" applyFont="1" applyBorder="1" applyAlignment="1">
      <alignment horizontal="center"/>
    </xf>
    <xf numFmtId="49" fontId="9" fillId="0" borderId="3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7" fillId="0" borderId="1" xfId="0" applyFont="1" applyFill="1" applyBorder="1"/>
    <xf numFmtId="0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78" fontId="10" fillId="0" borderId="1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0" fontId="6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workbookViewId="0">
      <selection activeCell="A43" sqref="A43:XFD43"/>
    </sheetView>
  </sheetViews>
  <sheetFormatPr defaultColWidth="14" defaultRowHeight="13.5" x14ac:dyDescent="0.15"/>
  <cols>
    <col min="1" max="1" width="9" style="20"/>
    <col min="2" max="2" width="28.25" style="20" customWidth="1"/>
    <col min="3" max="3" width="14.25" style="22" customWidth="1"/>
    <col min="4" max="4" width="18.625" style="21" customWidth="1"/>
    <col min="5" max="5" width="11.75" style="21" customWidth="1"/>
    <col min="6" max="6" width="10.125" style="20" customWidth="1"/>
    <col min="7" max="8" width="12" style="17" customWidth="1"/>
    <col min="9" max="9" width="7.125" style="16" customWidth="1"/>
    <col min="10" max="10" width="7.25" style="16" customWidth="1"/>
    <col min="11" max="11" width="10.75" style="18" customWidth="1"/>
    <col min="12" max="12" width="9.75" style="18" customWidth="1"/>
    <col min="13" max="13" width="8" style="18" customWidth="1"/>
    <col min="14" max="14" width="10.625" style="18" customWidth="1"/>
    <col min="15" max="15" width="11" style="18" customWidth="1"/>
    <col min="16" max="16" width="8.375" style="19" customWidth="1"/>
    <col min="17" max="17" width="11.25" style="18" customWidth="1"/>
  </cols>
  <sheetData>
    <row r="1" spans="1:17" s="5" customFormat="1" ht="30" x14ac:dyDescent="0.25">
      <c r="A1" s="31" t="s">
        <v>0</v>
      </c>
      <c r="B1" s="1" t="s">
        <v>15</v>
      </c>
      <c r="C1" s="32" t="s">
        <v>1</v>
      </c>
      <c r="D1" s="1" t="s">
        <v>16</v>
      </c>
      <c r="E1" s="1" t="s">
        <v>17</v>
      </c>
      <c r="F1" s="1" t="s">
        <v>12</v>
      </c>
      <c r="G1" s="2" t="s">
        <v>2</v>
      </c>
      <c r="H1" s="2" t="s">
        <v>3</v>
      </c>
      <c r="I1" s="1" t="s">
        <v>4</v>
      </c>
      <c r="J1" s="1" t="s">
        <v>5</v>
      </c>
      <c r="K1" s="3" t="s">
        <v>6</v>
      </c>
      <c r="L1" s="3" t="s">
        <v>18</v>
      </c>
      <c r="M1" s="3" t="s">
        <v>19</v>
      </c>
      <c r="N1" s="3" t="s">
        <v>7</v>
      </c>
      <c r="O1" s="3" t="s">
        <v>8</v>
      </c>
      <c r="P1" s="4" t="s">
        <v>9</v>
      </c>
      <c r="Q1" s="3" t="s">
        <v>10</v>
      </c>
    </row>
    <row r="2" spans="1:17" s="10" customFormat="1" ht="14.25" x14ac:dyDescent="0.2">
      <c r="A2" s="24">
        <v>1</v>
      </c>
      <c r="B2" s="43" t="s">
        <v>21</v>
      </c>
      <c r="C2" s="41">
        <v>1100552018</v>
      </c>
      <c r="D2" s="30" t="s">
        <v>14</v>
      </c>
      <c r="E2" s="29" t="s">
        <v>11</v>
      </c>
      <c r="F2" s="25" t="s">
        <v>13</v>
      </c>
      <c r="G2" s="6" t="s">
        <v>77</v>
      </c>
      <c r="H2" s="6" t="s">
        <v>79</v>
      </c>
      <c r="I2" s="26" t="s">
        <v>41</v>
      </c>
      <c r="J2" s="25">
        <v>0</v>
      </c>
      <c r="K2" s="27">
        <v>0</v>
      </c>
      <c r="L2" s="7">
        <f>K2*0.05</f>
        <v>0</v>
      </c>
      <c r="M2" s="8">
        <v>0.03</v>
      </c>
      <c r="N2" s="7">
        <f>K2*(1-0.96737864)</f>
        <v>0</v>
      </c>
      <c r="O2" s="7">
        <f>K2*0.91737864</f>
        <v>0</v>
      </c>
      <c r="P2" s="9">
        <v>0.48</v>
      </c>
      <c r="Q2" s="7">
        <f>O2*P2</f>
        <v>0</v>
      </c>
    </row>
    <row r="3" spans="1:17" s="10" customFormat="1" ht="14.25" x14ac:dyDescent="0.2">
      <c r="A3" s="24">
        <v>2</v>
      </c>
      <c r="B3" s="43" t="s">
        <v>33</v>
      </c>
      <c r="C3" s="41">
        <v>2101142018</v>
      </c>
      <c r="D3" s="30" t="s">
        <v>14</v>
      </c>
      <c r="E3" s="29" t="s">
        <v>11</v>
      </c>
      <c r="F3" s="25" t="s">
        <v>13</v>
      </c>
      <c r="G3" s="6" t="s">
        <v>77</v>
      </c>
      <c r="H3" s="6" t="s">
        <v>79</v>
      </c>
      <c r="I3" s="26" t="s">
        <v>42</v>
      </c>
      <c r="J3" s="25">
        <v>71</v>
      </c>
      <c r="K3" s="27">
        <v>2116</v>
      </c>
      <c r="L3" s="7">
        <f t="shared" ref="L3:L53" si="0">K3*0.05</f>
        <v>105.80000000000001</v>
      </c>
      <c r="M3" s="8">
        <v>0.03</v>
      </c>
      <c r="N3" s="7">
        <f t="shared" ref="N3:N53" si="1">K3*(1-0.96737864)</f>
        <v>69.026797760000093</v>
      </c>
      <c r="O3" s="7">
        <f t="shared" ref="O3:O53" si="2">K3*0.91737864</f>
        <v>1941.1732022400001</v>
      </c>
      <c r="P3" s="9">
        <v>0.48</v>
      </c>
      <c r="Q3" s="7">
        <f t="shared" ref="Q3:Q53" si="3">O3*P3</f>
        <v>931.76313707520001</v>
      </c>
    </row>
    <row r="4" spans="1:17" s="10" customFormat="1" ht="14.25" x14ac:dyDescent="0.2">
      <c r="A4" s="24">
        <v>3</v>
      </c>
      <c r="B4" s="43" t="s">
        <v>87</v>
      </c>
      <c r="C4" s="41">
        <v>1104972018</v>
      </c>
      <c r="D4" s="30" t="s">
        <v>14</v>
      </c>
      <c r="E4" s="29" t="s">
        <v>11</v>
      </c>
      <c r="F4" s="25" t="s">
        <v>13</v>
      </c>
      <c r="G4" s="6" t="s">
        <v>76</v>
      </c>
      <c r="H4" s="6" t="s">
        <v>78</v>
      </c>
      <c r="I4" s="26" t="s">
        <v>43</v>
      </c>
      <c r="J4" s="25">
        <v>0</v>
      </c>
      <c r="K4" s="27">
        <v>0</v>
      </c>
      <c r="L4" s="7">
        <f t="shared" si="0"/>
        <v>0</v>
      </c>
      <c r="M4" s="8">
        <v>0.03</v>
      </c>
      <c r="N4" s="7">
        <f t="shared" si="1"/>
        <v>0</v>
      </c>
      <c r="O4" s="7">
        <f t="shared" si="2"/>
        <v>0</v>
      </c>
      <c r="P4" s="9">
        <v>0.48</v>
      </c>
      <c r="Q4" s="7">
        <f t="shared" si="3"/>
        <v>0</v>
      </c>
    </row>
    <row r="5" spans="1:17" s="10" customFormat="1" ht="14.25" x14ac:dyDescent="0.2">
      <c r="A5" s="24">
        <v>4</v>
      </c>
      <c r="B5" s="43" t="s">
        <v>88</v>
      </c>
      <c r="C5" s="41">
        <v>1204972018</v>
      </c>
      <c r="D5" s="30" t="s">
        <v>14</v>
      </c>
      <c r="E5" s="29" t="s">
        <v>11</v>
      </c>
      <c r="F5" s="25" t="s">
        <v>13</v>
      </c>
      <c r="G5" s="6" t="s">
        <v>76</v>
      </c>
      <c r="H5" s="6" t="s">
        <v>78</v>
      </c>
      <c r="I5" s="26" t="s">
        <v>44</v>
      </c>
      <c r="J5" s="25">
        <v>85</v>
      </c>
      <c r="K5" s="27">
        <v>2656</v>
      </c>
      <c r="L5" s="7">
        <f t="shared" si="0"/>
        <v>132.80000000000001</v>
      </c>
      <c r="M5" s="8">
        <v>0.03</v>
      </c>
      <c r="N5" s="7">
        <f>K5*(1-0.96737864)</f>
        <v>86.642332160000109</v>
      </c>
      <c r="O5" s="12">
        <f t="shared" si="2"/>
        <v>2436.5576678400002</v>
      </c>
      <c r="P5" s="9">
        <v>0.48</v>
      </c>
      <c r="Q5" s="7">
        <f t="shared" si="3"/>
        <v>1169.5476805632002</v>
      </c>
    </row>
    <row r="6" spans="1:17" s="10" customFormat="1" ht="14.25" x14ac:dyDescent="0.2">
      <c r="A6" s="24">
        <v>5</v>
      </c>
      <c r="B6" s="43" t="s">
        <v>89</v>
      </c>
      <c r="C6" s="41">
        <v>1108552017</v>
      </c>
      <c r="D6" s="30" t="s">
        <v>14</v>
      </c>
      <c r="E6" s="29" t="s">
        <v>11</v>
      </c>
      <c r="F6" s="25" t="s">
        <v>13</v>
      </c>
      <c r="G6" s="6" t="s">
        <v>76</v>
      </c>
      <c r="H6" s="6" t="s">
        <v>78</v>
      </c>
      <c r="I6" s="26" t="s">
        <v>45</v>
      </c>
      <c r="J6" s="25">
        <v>1</v>
      </c>
      <c r="K6" s="27">
        <v>30</v>
      </c>
      <c r="L6" s="7">
        <f t="shared" si="0"/>
        <v>1.5</v>
      </c>
      <c r="M6" s="8">
        <v>0.03</v>
      </c>
      <c r="N6" s="7">
        <f t="shared" si="1"/>
        <v>0.97864080000000131</v>
      </c>
      <c r="O6" s="12">
        <f t="shared" si="2"/>
        <v>27.521359199999999</v>
      </c>
      <c r="P6" s="9">
        <v>0.48</v>
      </c>
      <c r="Q6" s="7">
        <f t="shared" si="3"/>
        <v>13.210252415999999</v>
      </c>
    </row>
    <row r="7" spans="1:17" s="10" customFormat="1" ht="14.25" x14ac:dyDescent="0.2">
      <c r="A7" s="24">
        <v>6</v>
      </c>
      <c r="B7" s="43" t="s">
        <v>35</v>
      </c>
      <c r="C7" s="41">
        <v>19101052018</v>
      </c>
      <c r="D7" s="30" t="s">
        <v>14</v>
      </c>
      <c r="E7" s="29" t="s">
        <v>11</v>
      </c>
      <c r="F7" s="25" t="s">
        <v>13</v>
      </c>
      <c r="G7" s="6" t="s">
        <v>76</v>
      </c>
      <c r="H7" s="6" t="s">
        <v>78</v>
      </c>
      <c r="I7" s="26" t="s">
        <v>46</v>
      </c>
      <c r="J7" s="25">
        <v>11</v>
      </c>
      <c r="K7" s="27">
        <v>315</v>
      </c>
      <c r="L7" s="7">
        <f t="shared" si="0"/>
        <v>15.75</v>
      </c>
      <c r="M7" s="8">
        <v>0.03</v>
      </c>
      <c r="N7" s="7">
        <f>K7*(1-0.96737864)</f>
        <v>10.275728400000014</v>
      </c>
      <c r="O7" s="12">
        <f t="shared" si="2"/>
        <v>288.97427160000001</v>
      </c>
      <c r="P7" s="9">
        <v>0.48</v>
      </c>
      <c r="Q7" s="7">
        <f t="shared" si="3"/>
        <v>138.707650368</v>
      </c>
    </row>
    <row r="8" spans="1:17" s="10" customFormat="1" ht="14.25" x14ac:dyDescent="0.2">
      <c r="A8" s="24">
        <v>7</v>
      </c>
      <c r="B8" s="43" t="s">
        <v>22</v>
      </c>
      <c r="C8" s="41">
        <v>51201112018</v>
      </c>
      <c r="D8" s="30" t="s">
        <v>14</v>
      </c>
      <c r="E8" s="29" t="s">
        <v>11</v>
      </c>
      <c r="F8" s="25" t="s">
        <v>13</v>
      </c>
      <c r="G8" s="6" t="s">
        <v>76</v>
      </c>
      <c r="H8" s="6" t="s">
        <v>78</v>
      </c>
      <c r="I8" s="26" t="s">
        <v>47</v>
      </c>
      <c r="J8" s="25">
        <v>277</v>
      </c>
      <c r="K8" s="27">
        <v>7988</v>
      </c>
      <c r="L8" s="7">
        <f t="shared" si="0"/>
        <v>399.40000000000003</v>
      </c>
      <c r="M8" s="8">
        <v>0.03</v>
      </c>
      <c r="N8" s="7">
        <f t="shared" si="1"/>
        <v>260.57942368000033</v>
      </c>
      <c r="O8" s="12">
        <f t="shared" si="2"/>
        <v>7328.0205763200001</v>
      </c>
      <c r="P8" s="9">
        <v>0.48</v>
      </c>
      <c r="Q8" s="7">
        <f t="shared" si="3"/>
        <v>3517.4498766336001</v>
      </c>
    </row>
    <row r="9" spans="1:17" s="10" customFormat="1" ht="14.25" x14ac:dyDescent="0.2">
      <c r="A9" s="24">
        <v>8</v>
      </c>
      <c r="B9" s="43" t="s">
        <v>22</v>
      </c>
      <c r="C9" s="41">
        <v>51201112018</v>
      </c>
      <c r="D9" s="30" t="s">
        <v>14</v>
      </c>
      <c r="E9" s="29" t="s">
        <v>11</v>
      </c>
      <c r="F9" s="25" t="s">
        <v>13</v>
      </c>
      <c r="G9" s="6" t="s">
        <v>76</v>
      </c>
      <c r="H9" s="6" t="s">
        <v>78</v>
      </c>
      <c r="I9" s="26" t="s">
        <v>48</v>
      </c>
      <c r="J9" s="25">
        <v>240</v>
      </c>
      <c r="K9" s="27">
        <v>7005</v>
      </c>
      <c r="L9" s="7">
        <f t="shared" si="0"/>
        <v>350.25</v>
      </c>
      <c r="M9" s="13">
        <v>0.03</v>
      </c>
      <c r="N9" s="11">
        <f t="shared" si="1"/>
        <v>228.51262680000031</v>
      </c>
      <c r="O9" s="14">
        <f t="shared" si="2"/>
        <v>6426.2373732000005</v>
      </c>
      <c r="P9" s="9">
        <v>0.48</v>
      </c>
      <c r="Q9" s="7">
        <f t="shared" si="3"/>
        <v>3084.5939391360002</v>
      </c>
    </row>
    <row r="10" spans="1:17" s="15" customFormat="1" ht="14.25" x14ac:dyDescent="0.2">
      <c r="A10" s="24">
        <v>9</v>
      </c>
      <c r="B10" s="43" t="s">
        <v>23</v>
      </c>
      <c r="C10" s="41">
        <v>1102802018</v>
      </c>
      <c r="D10" s="30" t="s">
        <v>14</v>
      </c>
      <c r="E10" s="29" t="s">
        <v>11</v>
      </c>
      <c r="F10" s="25" t="s">
        <v>13</v>
      </c>
      <c r="G10" s="6" t="s">
        <v>76</v>
      </c>
      <c r="H10" s="6" t="s">
        <v>78</v>
      </c>
      <c r="I10" s="26" t="s">
        <v>49</v>
      </c>
      <c r="J10" s="25">
        <v>44</v>
      </c>
      <c r="K10" s="27">
        <v>1326</v>
      </c>
      <c r="L10" s="7">
        <f t="shared" si="0"/>
        <v>66.3</v>
      </c>
      <c r="M10" s="8">
        <v>0.03</v>
      </c>
      <c r="N10" s="7">
        <f t="shared" si="1"/>
        <v>43.255923360000061</v>
      </c>
      <c r="O10" s="7">
        <f t="shared" si="2"/>
        <v>1216.44407664</v>
      </c>
      <c r="P10" s="9">
        <v>0.48</v>
      </c>
      <c r="Q10" s="7">
        <f t="shared" si="3"/>
        <v>583.89315678720004</v>
      </c>
    </row>
    <row r="11" spans="1:17" s="15" customFormat="1" ht="14.25" x14ac:dyDescent="0.2">
      <c r="A11" s="24">
        <v>10</v>
      </c>
      <c r="B11" s="43" t="s">
        <v>90</v>
      </c>
      <c r="C11" s="41" t="s">
        <v>80</v>
      </c>
      <c r="D11" s="30" t="s">
        <v>14</v>
      </c>
      <c r="E11" s="29" t="s">
        <v>11</v>
      </c>
      <c r="F11" s="25" t="s">
        <v>13</v>
      </c>
      <c r="G11" s="6" t="s">
        <v>76</v>
      </c>
      <c r="H11" s="6" t="s">
        <v>78</v>
      </c>
      <c r="I11" s="26" t="s">
        <v>50</v>
      </c>
      <c r="J11" s="25">
        <v>50</v>
      </c>
      <c r="K11" s="28">
        <v>1500</v>
      </c>
      <c r="L11" s="7">
        <f t="shared" si="0"/>
        <v>75</v>
      </c>
      <c r="M11" s="8">
        <v>0.03</v>
      </c>
      <c r="N11" s="7">
        <f t="shared" si="1"/>
        <v>48.932040000000065</v>
      </c>
      <c r="O11" s="33">
        <f t="shared" si="2"/>
        <v>1376.0679600000001</v>
      </c>
      <c r="P11" s="9">
        <v>0.48</v>
      </c>
      <c r="Q11" s="7">
        <f t="shared" si="3"/>
        <v>660.51262080000004</v>
      </c>
    </row>
    <row r="12" spans="1:17" ht="14.25" x14ac:dyDescent="0.2">
      <c r="A12" s="24">
        <v>11</v>
      </c>
      <c r="B12" s="43" t="s">
        <v>91</v>
      </c>
      <c r="C12" s="41">
        <v>1202172018</v>
      </c>
      <c r="D12" s="30" t="s">
        <v>14</v>
      </c>
      <c r="E12" s="29" t="s">
        <v>11</v>
      </c>
      <c r="F12" s="25" t="s">
        <v>13</v>
      </c>
      <c r="G12" s="6" t="s">
        <v>76</v>
      </c>
      <c r="H12" s="6" t="s">
        <v>78</v>
      </c>
      <c r="I12" s="26" t="s">
        <v>51</v>
      </c>
      <c r="J12" s="25">
        <v>934</v>
      </c>
      <c r="K12" s="27">
        <v>34196.75</v>
      </c>
      <c r="L12" s="7">
        <f t="shared" si="0"/>
        <v>1709.8375000000001</v>
      </c>
      <c r="M12" s="8">
        <v>0.03</v>
      </c>
      <c r="N12" s="7">
        <f t="shared" si="1"/>
        <v>1115.5444925800016</v>
      </c>
      <c r="O12" s="7">
        <f t="shared" si="2"/>
        <v>31371.368007420002</v>
      </c>
      <c r="P12" s="9">
        <v>0.48</v>
      </c>
      <c r="Q12" s="7">
        <f t="shared" si="3"/>
        <v>15058.256643561601</v>
      </c>
    </row>
    <row r="13" spans="1:17" ht="14.25" x14ac:dyDescent="0.2">
      <c r="A13" s="24">
        <v>12</v>
      </c>
      <c r="B13" s="43" t="s">
        <v>24</v>
      </c>
      <c r="C13" s="41">
        <v>66100982018</v>
      </c>
      <c r="D13" s="30" t="s">
        <v>14</v>
      </c>
      <c r="E13" s="29" t="s">
        <v>11</v>
      </c>
      <c r="F13" s="25" t="s">
        <v>13</v>
      </c>
      <c r="G13" s="6" t="s">
        <v>76</v>
      </c>
      <c r="H13" s="6" t="s">
        <v>78</v>
      </c>
      <c r="I13" s="26" t="s">
        <v>50</v>
      </c>
      <c r="J13" s="25">
        <v>0</v>
      </c>
      <c r="K13" s="27">
        <v>0</v>
      </c>
      <c r="L13" s="7">
        <f t="shared" si="0"/>
        <v>0</v>
      </c>
      <c r="M13" s="8">
        <v>0.03</v>
      </c>
      <c r="N13" s="7">
        <f t="shared" si="1"/>
        <v>0</v>
      </c>
      <c r="O13" s="12">
        <f t="shared" si="2"/>
        <v>0</v>
      </c>
      <c r="P13" s="9">
        <v>0.48</v>
      </c>
      <c r="Q13" s="7">
        <f t="shared" si="3"/>
        <v>0</v>
      </c>
    </row>
    <row r="14" spans="1:17" ht="14.25" x14ac:dyDescent="0.2">
      <c r="A14" s="24">
        <v>13</v>
      </c>
      <c r="B14" s="43" t="s">
        <v>25</v>
      </c>
      <c r="C14" s="41">
        <v>1203772018</v>
      </c>
      <c r="D14" s="30" t="s">
        <v>14</v>
      </c>
      <c r="E14" s="29" t="s">
        <v>11</v>
      </c>
      <c r="F14" s="25" t="s">
        <v>13</v>
      </c>
      <c r="G14" s="6" t="s">
        <v>76</v>
      </c>
      <c r="H14" s="6" t="s">
        <v>78</v>
      </c>
      <c r="I14" s="26" t="s">
        <v>52</v>
      </c>
      <c r="J14" s="25">
        <v>1123</v>
      </c>
      <c r="K14" s="27">
        <v>35697</v>
      </c>
      <c r="L14" s="7">
        <f t="shared" si="0"/>
        <v>1784.8500000000001</v>
      </c>
      <c r="M14" s="8">
        <v>0.03</v>
      </c>
      <c r="N14" s="7">
        <f t="shared" si="1"/>
        <v>1164.4846879200015</v>
      </c>
      <c r="O14" s="12">
        <f t="shared" si="2"/>
        <v>32747.66531208</v>
      </c>
      <c r="P14" s="9">
        <v>0.48</v>
      </c>
      <c r="Q14" s="7">
        <f t="shared" si="3"/>
        <v>15718.879349798399</v>
      </c>
    </row>
    <row r="15" spans="1:17" ht="14.25" x14ac:dyDescent="0.2">
      <c r="A15" s="24">
        <v>14</v>
      </c>
      <c r="B15" s="43" t="s">
        <v>39</v>
      </c>
      <c r="C15" s="41">
        <v>1903772018</v>
      </c>
      <c r="D15" s="30" t="s">
        <v>14</v>
      </c>
      <c r="E15" s="29" t="s">
        <v>11</v>
      </c>
      <c r="F15" s="25" t="s">
        <v>13</v>
      </c>
      <c r="G15" s="6" t="s">
        <v>76</v>
      </c>
      <c r="H15" s="6" t="s">
        <v>78</v>
      </c>
      <c r="I15" s="26" t="s">
        <v>53</v>
      </c>
      <c r="J15" s="25">
        <v>146</v>
      </c>
      <c r="K15" s="27">
        <v>4959</v>
      </c>
      <c r="L15" s="7">
        <f t="shared" si="0"/>
        <v>247.95000000000002</v>
      </c>
      <c r="M15" s="8">
        <v>0.03</v>
      </c>
      <c r="N15" s="7">
        <f t="shared" si="1"/>
        <v>161.76932424000023</v>
      </c>
      <c r="O15" s="12">
        <f t="shared" si="2"/>
        <v>4549.2806757600001</v>
      </c>
      <c r="P15" s="9">
        <v>0.48</v>
      </c>
      <c r="Q15" s="7">
        <f t="shared" si="3"/>
        <v>2183.6547243648001</v>
      </c>
    </row>
    <row r="16" spans="1:17" ht="14.25" x14ac:dyDescent="0.2">
      <c r="A16" s="24">
        <v>15</v>
      </c>
      <c r="B16" s="43" t="s">
        <v>92</v>
      </c>
      <c r="C16" s="41" t="s">
        <v>81</v>
      </c>
      <c r="D16" s="30" t="s">
        <v>14</v>
      </c>
      <c r="E16" s="29" t="s">
        <v>11</v>
      </c>
      <c r="F16" s="25" t="s">
        <v>13</v>
      </c>
      <c r="G16" s="6" t="s">
        <v>76</v>
      </c>
      <c r="H16" s="6" t="s">
        <v>78</v>
      </c>
      <c r="I16" s="26" t="s">
        <v>43</v>
      </c>
      <c r="J16" s="25">
        <v>11</v>
      </c>
      <c r="K16" s="26">
        <v>330</v>
      </c>
      <c r="L16" s="7">
        <f t="shared" si="0"/>
        <v>16.5</v>
      </c>
      <c r="M16" s="8">
        <v>0.03</v>
      </c>
      <c r="N16" s="7">
        <f t="shared" si="1"/>
        <v>10.765048800000015</v>
      </c>
      <c r="O16" s="12">
        <f t="shared" si="2"/>
        <v>302.73495120000001</v>
      </c>
      <c r="P16" s="9">
        <v>0.48</v>
      </c>
      <c r="Q16" s="7">
        <f t="shared" si="3"/>
        <v>145.312776576</v>
      </c>
    </row>
    <row r="17" spans="1:17" ht="14.25" x14ac:dyDescent="0.2">
      <c r="A17" s="24">
        <v>16</v>
      </c>
      <c r="B17" s="43" t="s">
        <v>36</v>
      </c>
      <c r="C17" s="41">
        <v>51100652018</v>
      </c>
      <c r="D17" s="30" t="s">
        <v>14</v>
      </c>
      <c r="E17" s="29" t="s">
        <v>11</v>
      </c>
      <c r="F17" s="25" t="s">
        <v>13</v>
      </c>
      <c r="G17" s="6" t="s">
        <v>76</v>
      </c>
      <c r="H17" s="6" t="s">
        <v>78</v>
      </c>
      <c r="I17" s="26" t="s">
        <v>50</v>
      </c>
      <c r="J17" s="25">
        <v>0</v>
      </c>
      <c r="K17" s="27">
        <v>0</v>
      </c>
      <c r="L17" s="7">
        <f t="shared" si="0"/>
        <v>0</v>
      </c>
      <c r="M17" s="13">
        <v>0.03</v>
      </c>
      <c r="N17" s="11">
        <f t="shared" si="1"/>
        <v>0</v>
      </c>
      <c r="O17" s="14">
        <f t="shared" si="2"/>
        <v>0</v>
      </c>
      <c r="P17" s="9">
        <v>0.48</v>
      </c>
      <c r="Q17" s="7">
        <f t="shared" si="3"/>
        <v>0</v>
      </c>
    </row>
    <row r="18" spans="1:17" ht="14.25" x14ac:dyDescent="0.2">
      <c r="A18" s="24">
        <v>17</v>
      </c>
      <c r="B18" s="43" t="s">
        <v>37</v>
      </c>
      <c r="C18" s="41">
        <v>51200922018</v>
      </c>
      <c r="D18" s="30" t="s">
        <v>14</v>
      </c>
      <c r="E18" s="29" t="s">
        <v>11</v>
      </c>
      <c r="F18" s="25" t="s">
        <v>13</v>
      </c>
      <c r="G18" s="6" t="s">
        <v>76</v>
      </c>
      <c r="H18" s="6" t="s">
        <v>78</v>
      </c>
      <c r="I18" s="26" t="s">
        <v>54</v>
      </c>
      <c r="J18" s="25">
        <v>61</v>
      </c>
      <c r="K18" s="27">
        <v>1891</v>
      </c>
      <c r="L18" s="7">
        <f t="shared" si="0"/>
        <v>94.550000000000011</v>
      </c>
      <c r="M18" s="8">
        <v>0.03</v>
      </c>
      <c r="N18" s="7">
        <f t="shared" si="1"/>
        <v>61.686991760000083</v>
      </c>
      <c r="O18" s="7">
        <f t="shared" si="2"/>
        <v>1734.7630082400001</v>
      </c>
      <c r="P18" s="9">
        <v>0.48</v>
      </c>
      <c r="Q18" s="7">
        <f t="shared" si="3"/>
        <v>832.68624395519998</v>
      </c>
    </row>
    <row r="19" spans="1:17" ht="14.25" x14ac:dyDescent="0.2">
      <c r="A19" s="24">
        <v>18</v>
      </c>
      <c r="B19" s="48" t="s">
        <v>111</v>
      </c>
      <c r="C19" s="41">
        <v>1108262017</v>
      </c>
      <c r="D19" s="30" t="s">
        <v>14</v>
      </c>
      <c r="E19" s="29" t="s">
        <v>11</v>
      </c>
      <c r="F19" s="25" t="s">
        <v>13</v>
      </c>
      <c r="G19" s="6" t="s">
        <v>76</v>
      </c>
      <c r="H19" s="6" t="s">
        <v>78</v>
      </c>
      <c r="I19" s="26" t="s">
        <v>50</v>
      </c>
      <c r="J19" s="25">
        <v>0</v>
      </c>
      <c r="K19" s="27">
        <v>0</v>
      </c>
      <c r="L19" s="7">
        <f t="shared" si="0"/>
        <v>0</v>
      </c>
      <c r="M19" s="8">
        <v>0.03</v>
      </c>
      <c r="N19" s="7">
        <f t="shared" si="1"/>
        <v>0</v>
      </c>
      <c r="O19" s="7">
        <f t="shared" si="2"/>
        <v>0</v>
      </c>
      <c r="P19" s="9">
        <v>0.48</v>
      </c>
      <c r="Q19" s="7">
        <f t="shared" si="3"/>
        <v>0</v>
      </c>
    </row>
    <row r="20" spans="1:17" ht="14.25" x14ac:dyDescent="0.2">
      <c r="A20" s="24">
        <v>19</v>
      </c>
      <c r="B20" s="43" t="s">
        <v>110</v>
      </c>
      <c r="C20" s="41">
        <v>1102002018</v>
      </c>
      <c r="D20" s="30" t="s">
        <v>14</v>
      </c>
      <c r="E20" s="29" t="s">
        <v>11</v>
      </c>
      <c r="F20" s="25" t="s">
        <v>13</v>
      </c>
      <c r="G20" s="6" t="s">
        <v>76</v>
      </c>
      <c r="H20" s="6" t="s">
        <v>78</v>
      </c>
      <c r="I20" s="26" t="s">
        <v>55</v>
      </c>
      <c r="J20" s="25">
        <v>5</v>
      </c>
      <c r="K20" s="27">
        <v>170</v>
      </c>
      <c r="L20" s="7">
        <f t="shared" si="0"/>
        <v>8.5</v>
      </c>
      <c r="M20" s="8">
        <v>0.03</v>
      </c>
      <c r="N20" s="7">
        <f t="shared" si="1"/>
        <v>5.5456312000000079</v>
      </c>
      <c r="O20" s="7">
        <f t="shared" si="2"/>
        <v>155.9543688</v>
      </c>
      <c r="P20" s="9">
        <v>0.48</v>
      </c>
      <c r="Q20" s="7">
        <f t="shared" si="3"/>
        <v>74.858097024000003</v>
      </c>
    </row>
    <row r="21" spans="1:17" ht="14.25" x14ac:dyDescent="0.2">
      <c r="A21" s="24">
        <v>20</v>
      </c>
      <c r="B21" s="43" t="s">
        <v>38</v>
      </c>
      <c r="C21" s="41">
        <v>51100932018</v>
      </c>
      <c r="D21" s="30" t="s">
        <v>14</v>
      </c>
      <c r="E21" s="29" t="s">
        <v>11</v>
      </c>
      <c r="F21" s="25" t="s">
        <v>13</v>
      </c>
      <c r="G21" s="6" t="s">
        <v>76</v>
      </c>
      <c r="H21" s="6" t="s">
        <v>78</v>
      </c>
      <c r="I21" s="26" t="s">
        <v>56</v>
      </c>
      <c r="J21" s="25">
        <v>48</v>
      </c>
      <c r="K21" s="27">
        <v>1422</v>
      </c>
      <c r="L21" s="7">
        <f t="shared" si="0"/>
        <v>71.100000000000009</v>
      </c>
      <c r="M21" s="8">
        <v>0.03</v>
      </c>
      <c r="N21" s="7">
        <f t="shared" si="1"/>
        <v>46.387573920000065</v>
      </c>
      <c r="O21" s="12">
        <f t="shared" si="2"/>
        <v>1304.5124260800001</v>
      </c>
      <c r="P21" s="9">
        <v>0.48</v>
      </c>
      <c r="Q21" s="7">
        <f t="shared" si="3"/>
        <v>626.16596451839996</v>
      </c>
    </row>
    <row r="22" spans="1:17" ht="14.25" x14ac:dyDescent="0.2">
      <c r="A22" s="24">
        <v>21</v>
      </c>
      <c r="B22" s="43" t="s">
        <v>109</v>
      </c>
      <c r="C22" s="41">
        <v>51101152018</v>
      </c>
      <c r="D22" s="30" t="s">
        <v>14</v>
      </c>
      <c r="E22" s="29" t="s">
        <v>11</v>
      </c>
      <c r="F22" s="25" t="s">
        <v>13</v>
      </c>
      <c r="G22" s="6" t="s">
        <v>76</v>
      </c>
      <c r="H22" s="6" t="s">
        <v>78</v>
      </c>
      <c r="I22" s="26" t="s">
        <v>57</v>
      </c>
      <c r="J22" s="25">
        <v>139</v>
      </c>
      <c r="K22" s="27">
        <v>3898</v>
      </c>
      <c r="L22" s="7">
        <f t="shared" si="0"/>
        <v>194.9</v>
      </c>
      <c r="M22" s="8">
        <v>0.03</v>
      </c>
      <c r="N22" s="7">
        <f t="shared" si="1"/>
        <v>127.15806128000017</v>
      </c>
      <c r="O22" s="12">
        <f t="shared" si="2"/>
        <v>3575.9419387200001</v>
      </c>
      <c r="P22" s="9">
        <v>0.48</v>
      </c>
      <c r="Q22" s="7">
        <f t="shared" si="3"/>
        <v>1716.4521305855999</v>
      </c>
    </row>
    <row r="23" spans="1:17" ht="14.25" x14ac:dyDescent="0.2">
      <c r="A23" s="24">
        <v>22</v>
      </c>
      <c r="B23" s="43" t="s">
        <v>26</v>
      </c>
      <c r="C23" s="41">
        <v>1103782018</v>
      </c>
      <c r="D23" s="30" t="s">
        <v>14</v>
      </c>
      <c r="E23" s="29" t="s">
        <v>11</v>
      </c>
      <c r="F23" s="25" t="s">
        <v>13</v>
      </c>
      <c r="G23" s="6" t="s">
        <v>76</v>
      </c>
      <c r="H23" s="6" t="s">
        <v>78</v>
      </c>
      <c r="I23" s="26" t="s">
        <v>58</v>
      </c>
      <c r="J23" s="25">
        <v>10</v>
      </c>
      <c r="K23" s="27">
        <v>290</v>
      </c>
      <c r="L23" s="7">
        <f t="shared" si="0"/>
        <v>14.5</v>
      </c>
      <c r="M23" s="8">
        <v>0.03</v>
      </c>
      <c r="N23" s="7">
        <f t="shared" si="1"/>
        <v>9.4601944000000131</v>
      </c>
      <c r="O23" s="12">
        <f t="shared" si="2"/>
        <v>266.03980560000002</v>
      </c>
      <c r="P23" s="9">
        <v>0.48</v>
      </c>
      <c r="Q23" s="7">
        <f t="shared" si="3"/>
        <v>127.699106688</v>
      </c>
    </row>
    <row r="24" spans="1:17" ht="13.5" customHeight="1" x14ac:dyDescent="0.2">
      <c r="A24" s="24">
        <v>23</v>
      </c>
      <c r="B24" s="43" t="s">
        <v>93</v>
      </c>
      <c r="C24" s="41">
        <v>1103712017</v>
      </c>
      <c r="D24" s="30" t="s">
        <v>14</v>
      </c>
      <c r="E24" s="29" t="s">
        <v>11</v>
      </c>
      <c r="F24" s="25" t="s">
        <v>13</v>
      </c>
      <c r="G24" s="6" t="s">
        <v>76</v>
      </c>
      <c r="H24" s="6" t="s">
        <v>78</v>
      </c>
      <c r="I24" s="26" t="s">
        <v>59</v>
      </c>
      <c r="J24" s="25">
        <v>0</v>
      </c>
      <c r="K24" s="27">
        <v>0</v>
      </c>
      <c r="L24" s="7">
        <f t="shared" si="0"/>
        <v>0</v>
      </c>
      <c r="M24" s="8">
        <v>0.03</v>
      </c>
      <c r="N24" s="7">
        <f t="shared" si="1"/>
        <v>0</v>
      </c>
      <c r="O24" s="12">
        <f t="shared" si="2"/>
        <v>0</v>
      </c>
      <c r="P24" s="9">
        <v>0.48</v>
      </c>
      <c r="Q24" s="7">
        <f t="shared" si="3"/>
        <v>0</v>
      </c>
    </row>
    <row r="25" spans="1:17" ht="14.25" x14ac:dyDescent="0.2">
      <c r="A25" s="24">
        <v>24</v>
      </c>
      <c r="B25" s="43" t="s">
        <v>112</v>
      </c>
      <c r="C25" s="41">
        <v>1108392016</v>
      </c>
      <c r="D25" s="30" t="s">
        <v>14</v>
      </c>
      <c r="E25" s="29" t="s">
        <v>11</v>
      </c>
      <c r="F25" s="25" t="s">
        <v>13</v>
      </c>
      <c r="G25" s="6" t="s">
        <v>76</v>
      </c>
      <c r="H25" s="6" t="s">
        <v>78</v>
      </c>
      <c r="I25" s="26" t="s">
        <v>50</v>
      </c>
      <c r="J25" s="25">
        <v>3</v>
      </c>
      <c r="K25" s="27">
        <v>84</v>
      </c>
      <c r="L25" s="7">
        <f t="shared" si="0"/>
        <v>4.2</v>
      </c>
      <c r="M25" s="13">
        <v>0.03</v>
      </c>
      <c r="N25" s="11">
        <f t="shared" si="1"/>
        <v>2.7401942400000037</v>
      </c>
      <c r="O25" s="14">
        <f t="shared" si="2"/>
        <v>77.059805760000003</v>
      </c>
      <c r="P25" s="9">
        <v>0.48</v>
      </c>
      <c r="Q25" s="7">
        <f t="shared" si="3"/>
        <v>36.9887067648</v>
      </c>
    </row>
    <row r="26" spans="1:17" ht="14.25" x14ac:dyDescent="0.2">
      <c r="A26" s="24">
        <v>25</v>
      </c>
      <c r="B26" s="43" t="s">
        <v>27</v>
      </c>
      <c r="C26" s="41">
        <v>1104442018</v>
      </c>
      <c r="D26" s="30" t="s">
        <v>14</v>
      </c>
      <c r="E26" s="29" t="s">
        <v>11</v>
      </c>
      <c r="F26" s="25" t="s">
        <v>13</v>
      </c>
      <c r="G26" s="6" t="s">
        <v>76</v>
      </c>
      <c r="H26" s="6" t="s">
        <v>78</v>
      </c>
      <c r="I26" s="26" t="s">
        <v>60</v>
      </c>
      <c r="J26" s="25">
        <v>131</v>
      </c>
      <c r="K26" s="28">
        <v>3869</v>
      </c>
      <c r="L26" s="7">
        <f t="shared" si="0"/>
        <v>193.45000000000002</v>
      </c>
      <c r="M26" s="8">
        <v>0.03</v>
      </c>
      <c r="N26" s="7">
        <f t="shared" si="1"/>
        <v>126.21204184000017</v>
      </c>
      <c r="O26" s="7">
        <f t="shared" si="2"/>
        <v>3549.3379581600002</v>
      </c>
      <c r="P26" s="9">
        <v>0.48</v>
      </c>
      <c r="Q26" s="7">
        <f t="shared" si="3"/>
        <v>1703.6822199168</v>
      </c>
    </row>
    <row r="27" spans="1:17" ht="14.25" x14ac:dyDescent="0.2">
      <c r="A27" s="24">
        <v>26</v>
      </c>
      <c r="B27" s="43" t="s">
        <v>106</v>
      </c>
      <c r="C27" s="41">
        <v>51201202018</v>
      </c>
      <c r="D27" s="30" t="s">
        <v>14</v>
      </c>
      <c r="E27" s="29" t="s">
        <v>11</v>
      </c>
      <c r="F27" s="25" t="s">
        <v>13</v>
      </c>
      <c r="G27" s="6" t="s">
        <v>76</v>
      </c>
      <c r="H27" s="6" t="s">
        <v>78</v>
      </c>
      <c r="I27" s="26" t="s">
        <v>61</v>
      </c>
      <c r="J27" s="25">
        <v>1418</v>
      </c>
      <c r="K27" s="27">
        <v>44624</v>
      </c>
      <c r="L27" s="7">
        <f t="shared" si="0"/>
        <v>2231.2000000000003</v>
      </c>
      <c r="M27" s="8">
        <v>0.03</v>
      </c>
      <c r="N27" s="7">
        <f t="shared" si="1"/>
        <v>1455.695568640002</v>
      </c>
      <c r="O27" s="7">
        <f t="shared" si="2"/>
        <v>40937.10443136</v>
      </c>
      <c r="P27" s="9">
        <v>0.48</v>
      </c>
      <c r="Q27" s="7">
        <f t="shared" si="3"/>
        <v>19649.810127052799</v>
      </c>
    </row>
    <row r="28" spans="1:17" ht="14.25" x14ac:dyDescent="0.2">
      <c r="A28" s="24">
        <v>27</v>
      </c>
      <c r="B28" s="43" t="s">
        <v>107</v>
      </c>
      <c r="C28" s="41">
        <v>51901202018</v>
      </c>
      <c r="D28" s="30" t="s">
        <v>14</v>
      </c>
      <c r="E28" s="29" t="s">
        <v>11</v>
      </c>
      <c r="F28" s="25" t="s">
        <v>13</v>
      </c>
      <c r="G28" s="6" t="s">
        <v>76</v>
      </c>
      <c r="H28" s="6" t="s">
        <v>78</v>
      </c>
      <c r="I28" s="26" t="s">
        <v>49</v>
      </c>
      <c r="J28" s="25">
        <v>548</v>
      </c>
      <c r="K28" s="27">
        <v>17878</v>
      </c>
      <c r="L28" s="7">
        <f t="shared" si="0"/>
        <v>893.90000000000009</v>
      </c>
      <c r="M28" s="8">
        <v>0.03</v>
      </c>
      <c r="N28" s="7">
        <f t="shared" si="1"/>
        <v>583.20467408000081</v>
      </c>
      <c r="O28" s="7">
        <f t="shared" si="2"/>
        <v>16400.895325919999</v>
      </c>
      <c r="P28" s="9">
        <v>0.48</v>
      </c>
      <c r="Q28" s="7">
        <f t="shared" si="3"/>
        <v>7872.4297564415992</v>
      </c>
    </row>
    <row r="29" spans="1:17" ht="14.25" x14ac:dyDescent="0.2">
      <c r="A29" s="24">
        <v>28</v>
      </c>
      <c r="B29" s="43" t="s">
        <v>108</v>
      </c>
      <c r="C29" s="41" t="s">
        <v>86</v>
      </c>
      <c r="D29" s="30" t="s">
        <v>14</v>
      </c>
      <c r="E29" s="29" t="s">
        <v>11</v>
      </c>
      <c r="F29" s="25" t="s">
        <v>13</v>
      </c>
      <c r="G29" s="6" t="s">
        <v>76</v>
      </c>
      <c r="H29" s="6" t="s">
        <v>78</v>
      </c>
      <c r="I29" s="26" t="s">
        <v>62</v>
      </c>
      <c r="J29" s="25">
        <v>133</v>
      </c>
      <c r="K29" s="27">
        <v>3916</v>
      </c>
      <c r="L29" s="7">
        <f t="shared" si="0"/>
        <v>195.8</v>
      </c>
      <c r="M29" s="8">
        <v>0.03</v>
      </c>
      <c r="N29" s="7">
        <f t="shared" si="1"/>
        <v>127.74524576000017</v>
      </c>
      <c r="O29" s="12">
        <f t="shared" si="2"/>
        <v>3592.4547542400001</v>
      </c>
      <c r="P29" s="9">
        <v>0.48</v>
      </c>
      <c r="Q29" s="7">
        <f t="shared" si="3"/>
        <v>1724.3782820352001</v>
      </c>
    </row>
    <row r="30" spans="1:17" ht="14.25" x14ac:dyDescent="0.2">
      <c r="A30" s="24">
        <v>29</v>
      </c>
      <c r="B30" s="43" t="s">
        <v>94</v>
      </c>
      <c r="C30" s="41" t="s">
        <v>82</v>
      </c>
      <c r="D30" s="30" t="s">
        <v>14</v>
      </c>
      <c r="E30" s="29" t="s">
        <v>11</v>
      </c>
      <c r="F30" s="25" t="s">
        <v>13</v>
      </c>
      <c r="G30" s="6" t="s">
        <v>76</v>
      </c>
      <c r="H30" s="6" t="s">
        <v>78</v>
      </c>
      <c r="I30" s="26" t="s">
        <v>59</v>
      </c>
      <c r="J30" s="25">
        <v>24</v>
      </c>
      <c r="K30" s="27">
        <v>695</v>
      </c>
      <c r="L30" s="7">
        <f t="shared" si="0"/>
        <v>34.75</v>
      </c>
      <c r="M30" s="8">
        <v>0.03</v>
      </c>
      <c r="N30" s="7">
        <f t="shared" si="1"/>
        <v>22.671845200000032</v>
      </c>
      <c r="O30" s="12">
        <f t="shared" si="2"/>
        <v>637.57815479999999</v>
      </c>
      <c r="P30" s="9">
        <v>0.48</v>
      </c>
      <c r="Q30" s="7">
        <f t="shared" si="3"/>
        <v>306.03751430400001</v>
      </c>
    </row>
    <row r="31" spans="1:17" ht="14.25" x14ac:dyDescent="0.2">
      <c r="A31" s="24">
        <v>30</v>
      </c>
      <c r="B31" s="43" t="s">
        <v>95</v>
      </c>
      <c r="C31" s="41" t="s">
        <v>83</v>
      </c>
      <c r="D31" s="30" t="s">
        <v>14</v>
      </c>
      <c r="E31" s="29" t="s">
        <v>11</v>
      </c>
      <c r="F31" s="25" t="s">
        <v>13</v>
      </c>
      <c r="G31" s="6" t="s">
        <v>76</v>
      </c>
      <c r="H31" s="6" t="s">
        <v>78</v>
      </c>
      <c r="I31" s="26" t="s">
        <v>63</v>
      </c>
      <c r="J31" s="25">
        <v>56</v>
      </c>
      <c r="K31" s="27">
        <v>1704</v>
      </c>
      <c r="L31" s="7">
        <f t="shared" si="0"/>
        <v>85.2</v>
      </c>
      <c r="M31" s="8">
        <v>0.03</v>
      </c>
      <c r="N31" s="7">
        <f t="shared" si="1"/>
        <v>55.586797440000076</v>
      </c>
      <c r="O31" s="12">
        <f t="shared" si="2"/>
        <v>1563.2132025600001</v>
      </c>
      <c r="P31" s="9">
        <v>0.48</v>
      </c>
      <c r="Q31" s="7">
        <f t="shared" si="3"/>
        <v>750.34233722880003</v>
      </c>
    </row>
    <row r="32" spans="1:17" ht="14.25" x14ac:dyDescent="0.2">
      <c r="A32" s="24">
        <v>31</v>
      </c>
      <c r="B32" s="43" t="s">
        <v>40</v>
      </c>
      <c r="C32" s="41">
        <v>12101122018</v>
      </c>
      <c r="D32" s="30" t="s">
        <v>14</v>
      </c>
      <c r="E32" s="29" t="s">
        <v>11</v>
      </c>
      <c r="F32" s="25" t="s">
        <v>13</v>
      </c>
      <c r="G32" s="6" t="s">
        <v>76</v>
      </c>
      <c r="H32" s="6" t="s">
        <v>78</v>
      </c>
      <c r="I32" s="26" t="s">
        <v>46</v>
      </c>
      <c r="J32" s="25">
        <v>10</v>
      </c>
      <c r="K32" s="27">
        <v>284</v>
      </c>
      <c r="L32" s="7">
        <f t="shared" si="0"/>
        <v>14.200000000000001</v>
      </c>
      <c r="M32" s="8">
        <v>0.03</v>
      </c>
      <c r="N32" s="7">
        <f t="shared" si="1"/>
        <v>9.2644662400000115</v>
      </c>
      <c r="O32" s="12">
        <f t="shared" si="2"/>
        <v>260.53553376000002</v>
      </c>
      <c r="P32" s="9">
        <v>0.48</v>
      </c>
      <c r="Q32" s="7">
        <f t="shared" si="3"/>
        <v>125.05705620480001</v>
      </c>
    </row>
    <row r="33" spans="1:17" ht="14.25" x14ac:dyDescent="0.2">
      <c r="A33" s="24">
        <v>32</v>
      </c>
      <c r="B33" s="43" t="s">
        <v>28</v>
      </c>
      <c r="C33" s="41">
        <v>1101032018</v>
      </c>
      <c r="D33" s="30" t="s">
        <v>14</v>
      </c>
      <c r="E33" s="29" t="s">
        <v>11</v>
      </c>
      <c r="F33" s="25" t="s">
        <v>13</v>
      </c>
      <c r="G33" s="6" t="s">
        <v>76</v>
      </c>
      <c r="H33" s="6" t="s">
        <v>78</v>
      </c>
      <c r="I33" s="26" t="s">
        <v>43</v>
      </c>
      <c r="J33" s="25">
        <v>0</v>
      </c>
      <c r="K33" s="27">
        <v>0</v>
      </c>
      <c r="L33" s="7">
        <f t="shared" si="0"/>
        <v>0</v>
      </c>
      <c r="M33" s="13">
        <v>0.03</v>
      </c>
      <c r="N33" s="11">
        <f t="shared" si="1"/>
        <v>0</v>
      </c>
      <c r="O33" s="14">
        <f t="shared" si="2"/>
        <v>0</v>
      </c>
      <c r="P33" s="9">
        <v>0.48</v>
      </c>
      <c r="Q33" s="7">
        <f t="shared" si="3"/>
        <v>0</v>
      </c>
    </row>
    <row r="34" spans="1:17" ht="14.25" x14ac:dyDescent="0.2">
      <c r="A34" s="24">
        <v>33</v>
      </c>
      <c r="B34" s="43" t="s">
        <v>96</v>
      </c>
      <c r="C34" s="41">
        <v>51201262018</v>
      </c>
      <c r="D34" s="30" t="s">
        <v>14</v>
      </c>
      <c r="E34" s="29" t="s">
        <v>11</v>
      </c>
      <c r="F34" s="25" t="s">
        <v>13</v>
      </c>
      <c r="G34" s="6" t="s">
        <v>76</v>
      </c>
      <c r="H34" s="6" t="s">
        <v>78</v>
      </c>
      <c r="I34" s="26" t="s">
        <v>43</v>
      </c>
      <c r="J34" s="25">
        <v>0</v>
      </c>
      <c r="K34" s="28">
        <v>0</v>
      </c>
      <c r="L34" s="7">
        <f t="shared" si="0"/>
        <v>0</v>
      </c>
      <c r="M34" s="8">
        <v>0.03</v>
      </c>
      <c r="N34" s="7">
        <f t="shared" si="1"/>
        <v>0</v>
      </c>
      <c r="O34" s="7">
        <f t="shared" si="2"/>
        <v>0</v>
      </c>
      <c r="P34" s="9">
        <v>0.48</v>
      </c>
      <c r="Q34" s="7">
        <f t="shared" si="3"/>
        <v>0</v>
      </c>
    </row>
    <row r="35" spans="1:17" ht="14.25" x14ac:dyDescent="0.2">
      <c r="A35" s="24">
        <v>34</v>
      </c>
      <c r="B35" s="43" t="s">
        <v>96</v>
      </c>
      <c r="C35" s="41">
        <v>51201262018</v>
      </c>
      <c r="D35" s="30" t="s">
        <v>14</v>
      </c>
      <c r="E35" s="29" t="s">
        <v>11</v>
      </c>
      <c r="F35" s="25" t="s">
        <v>13</v>
      </c>
      <c r="G35" s="6" t="s">
        <v>76</v>
      </c>
      <c r="H35" s="6" t="s">
        <v>78</v>
      </c>
      <c r="I35" s="26" t="s">
        <v>64</v>
      </c>
      <c r="J35" s="25">
        <v>40</v>
      </c>
      <c r="K35" s="28">
        <v>1084</v>
      </c>
      <c r="L35" s="7">
        <f t="shared" si="0"/>
        <v>54.2</v>
      </c>
      <c r="M35" s="8">
        <v>0.03</v>
      </c>
      <c r="N35" s="7">
        <f t="shared" si="1"/>
        <v>35.361554240000046</v>
      </c>
      <c r="O35" s="7">
        <f t="shared" si="2"/>
        <v>994.43844576000004</v>
      </c>
      <c r="P35" s="9">
        <v>0.48</v>
      </c>
      <c r="Q35" s="7">
        <f t="shared" si="3"/>
        <v>477.33045396479997</v>
      </c>
    </row>
    <row r="36" spans="1:17" ht="14.25" x14ac:dyDescent="0.2">
      <c r="A36" s="24">
        <v>35</v>
      </c>
      <c r="B36" s="43" t="s">
        <v>32</v>
      </c>
      <c r="C36" s="42">
        <v>78100962018</v>
      </c>
      <c r="D36" s="30" t="s">
        <v>14</v>
      </c>
      <c r="E36" s="29" t="s">
        <v>11</v>
      </c>
      <c r="F36" s="25" t="s">
        <v>13</v>
      </c>
      <c r="G36" s="6" t="s">
        <v>76</v>
      </c>
      <c r="H36" s="6" t="s">
        <v>78</v>
      </c>
      <c r="I36" s="26" t="s">
        <v>65</v>
      </c>
      <c r="J36" s="25">
        <v>0</v>
      </c>
      <c r="K36" s="28">
        <v>0</v>
      </c>
      <c r="L36" s="7">
        <f t="shared" si="0"/>
        <v>0</v>
      </c>
      <c r="M36" s="8">
        <v>0.03</v>
      </c>
      <c r="N36" s="7">
        <f t="shared" si="1"/>
        <v>0</v>
      </c>
      <c r="O36" s="7">
        <f t="shared" si="2"/>
        <v>0</v>
      </c>
      <c r="P36" s="9">
        <v>0.48</v>
      </c>
      <c r="Q36" s="7">
        <f t="shared" si="3"/>
        <v>0</v>
      </c>
    </row>
    <row r="37" spans="1:17" ht="14.25" x14ac:dyDescent="0.2">
      <c r="A37" s="24">
        <v>36</v>
      </c>
      <c r="B37" s="43" t="s">
        <v>97</v>
      </c>
      <c r="C37" s="41">
        <v>51101182018</v>
      </c>
      <c r="D37" s="30" t="s">
        <v>14</v>
      </c>
      <c r="E37" s="29" t="s">
        <v>11</v>
      </c>
      <c r="F37" s="25" t="s">
        <v>13</v>
      </c>
      <c r="G37" s="6" t="s">
        <v>76</v>
      </c>
      <c r="H37" s="6" t="s">
        <v>78</v>
      </c>
      <c r="I37" s="26" t="s">
        <v>66</v>
      </c>
      <c r="J37" s="25">
        <v>10</v>
      </c>
      <c r="K37" s="26">
        <v>280</v>
      </c>
      <c r="L37" s="7">
        <f t="shared" si="0"/>
        <v>14</v>
      </c>
      <c r="M37" s="8">
        <v>0.03</v>
      </c>
      <c r="N37" s="7">
        <f t="shared" si="1"/>
        <v>9.1339808000000122</v>
      </c>
      <c r="O37" s="12">
        <f t="shared" si="2"/>
        <v>256.86601919999998</v>
      </c>
      <c r="P37" s="9">
        <v>0.48</v>
      </c>
      <c r="Q37" s="7">
        <f t="shared" si="3"/>
        <v>123.29568921599999</v>
      </c>
    </row>
    <row r="38" spans="1:17" ht="14.25" x14ac:dyDescent="0.2">
      <c r="A38" s="24">
        <v>37</v>
      </c>
      <c r="B38" s="43" t="s">
        <v>97</v>
      </c>
      <c r="C38" s="41">
        <v>51101182018</v>
      </c>
      <c r="D38" s="30" t="s">
        <v>14</v>
      </c>
      <c r="E38" s="29" t="s">
        <v>11</v>
      </c>
      <c r="F38" s="25" t="s">
        <v>13</v>
      </c>
      <c r="G38" s="6" t="s">
        <v>76</v>
      </c>
      <c r="H38" s="6" t="s">
        <v>78</v>
      </c>
      <c r="I38" s="44" t="s">
        <v>41</v>
      </c>
      <c r="J38" s="45">
        <v>34</v>
      </c>
      <c r="K38" s="46">
        <v>997</v>
      </c>
      <c r="L38" s="7">
        <f t="shared" si="0"/>
        <v>49.85</v>
      </c>
      <c r="M38" s="8">
        <v>0.03</v>
      </c>
      <c r="N38" s="7">
        <f t="shared" si="1"/>
        <v>32.523495920000045</v>
      </c>
      <c r="O38" s="12">
        <f t="shared" si="2"/>
        <v>914.62650408000002</v>
      </c>
      <c r="P38" s="9">
        <v>0.48</v>
      </c>
      <c r="Q38" s="7">
        <f t="shared" si="3"/>
        <v>439.02072195839997</v>
      </c>
    </row>
    <row r="39" spans="1:17" ht="14.25" x14ac:dyDescent="0.2">
      <c r="A39" s="24">
        <v>38</v>
      </c>
      <c r="B39" s="43" t="s">
        <v>113</v>
      </c>
      <c r="C39" s="41">
        <v>1104962018</v>
      </c>
      <c r="D39" s="30" t="s">
        <v>14</v>
      </c>
      <c r="E39" s="29" t="s">
        <v>11</v>
      </c>
      <c r="F39" s="25" t="s">
        <v>13</v>
      </c>
      <c r="G39" s="6" t="s">
        <v>76</v>
      </c>
      <c r="H39" s="6" t="s">
        <v>78</v>
      </c>
      <c r="I39" s="44" t="s">
        <v>67</v>
      </c>
      <c r="J39" s="45">
        <v>7062</v>
      </c>
      <c r="K39" s="47">
        <v>220754.73</v>
      </c>
      <c r="L39" s="7">
        <f t="shared" si="0"/>
        <v>11037.736500000001</v>
      </c>
      <c r="M39" s="8">
        <v>0.03</v>
      </c>
      <c r="N39" s="7">
        <f t="shared" si="1"/>
        <v>7201.3195190328097</v>
      </c>
      <c r="O39" s="12">
        <f t="shared" si="2"/>
        <v>202515.67398096723</v>
      </c>
      <c r="P39" s="9">
        <v>0.48</v>
      </c>
      <c r="Q39" s="7">
        <f t="shared" si="3"/>
        <v>97207.523510864266</v>
      </c>
    </row>
    <row r="40" spans="1:17" ht="14.25" x14ac:dyDescent="0.2">
      <c r="A40" s="24">
        <v>39</v>
      </c>
      <c r="B40" s="43" t="s">
        <v>98</v>
      </c>
      <c r="C40" s="41">
        <v>1804962018</v>
      </c>
      <c r="D40" s="30" t="s">
        <v>14</v>
      </c>
      <c r="E40" s="29" t="s">
        <v>11</v>
      </c>
      <c r="F40" s="25" t="s">
        <v>13</v>
      </c>
      <c r="G40" s="6" t="s">
        <v>76</v>
      </c>
      <c r="H40" s="6" t="s">
        <v>78</v>
      </c>
      <c r="I40" s="44" t="s">
        <v>68</v>
      </c>
      <c r="J40" s="45">
        <v>1367</v>
      </c>
      <c r="K40" s="46">
        <v>46409.5</v>
      </c>
      <c r="L40" s="7">
        <f t="shared" si="0"/>
        <v>2320.4749999999999</v>
      </c>
      <c r="M40" s="8">
        <v>0.03</v>
      </c>
      <c r="N40" s="7">
        <f t="shared" si="1"/>
        <v>1513.9410069200021</v>
      </c>
      <c r="O40" s="12">
        <f t="shared" si="2"/>
        <v>42575.083993079999</v>
      </c>
      <c r="P40" s="9">
        <v>0.48</v>
      </c>
      <c r="Q40" s="7">
        <f t="shared" si="3"/>
        <v>20436.040316678398</v>
      </c>
    </row>
    <row r="41" spans="1:17" ht="14.25" x14ac:dyDescent="0.2">
      <c r="A41" s="24">
        <v>40</v>
      </c>
      <c r="B41" s="43" t="s">
        <v>99</v>
      </c>
      <c r="C41" s="41">
        <v>1106062018</v>
      </c>
      <c r="D41" s="30" t="s">
        <v>14</v>
      </c>
      <c r="E41" s="29" t="s">
        <v>11</v>
      </c>
      <c r="F41" s="25" t="s">
        <v>13</v>
      </c>
      <c r="G41" s="6" t="s">
        <v>76</v>
      </c>
      <c r="H41" s="6" t="s">
        <v>78</v>
      </c>
      <c r="I41" s="44" t="s">
        <v>69</v>
      </c>
      <c r="J41" s="45">
        <v>2683</v>
      </c>
      <c r="K41" s="46">
        <v>83824</v>
      </c>
      <c r="L41" s="7">
        <f t="shared" si="0"/>
        <v>4191.2</v>
      </c>
      <c r="M41" s="13">
        <v>0.03</v>
      </c>
      <c r="N41" s="11">
        <f t="shared" si="1"/>
        <v>2734.4528806400035</v>
      </c>
      <c r="O41" s="14">
        <f t="shared" si="2"/>
        <v>76898.347119359998</v>
      </c>
      <c r="P41" s="9">
        <v>0.48</v>
      </c>
      <c r="Q41" s="7">
        <f t="shared" si="3"/>
        <v>36911.206617292795</v>
      </c>
    </row>
    <row r="42" spans="1:17" ht="14.25" x14ac:dyDescent="0.2">
      <c r="A42" s="24">
        <v>41</v>
      </c>
      <c r="B42" s="43" t="s">
        <v>100</v>
      </c>
      <c r="C42" s="41">
        <v>1806062018</v>
      </c>
      <c r="D42" s="30" t="s">
        <v>14</v>
      </c>
      <c r="E42" s="29" t="s">
        <v>11</v>
      </c>
      <c r="F42" s="25" t="s">
        <v>13</v>
      </c>
      <c r="G42" s="6" t="s">
        <v>76</v>
      </c>
      <c r="H42" s="6" t="s">
        <v>78</v>
      </c>
      <c r="I42" s="44" t="s">
        <v>70</v>
      </c>
      <c r="J42" s="45">
        <v>871</v>
      </c>
      <c r="K42" s="46">
        <v>29080</v>
      </c>
      <c r="L42" s="7">
        <f t="shared" si="0"/>
        <v>1454</v>
      </c>
      <c r="M42" s="8">
        <v>0.03</v>
      </c>
      <c r="N42" s="7">
        <f t="shared" si="1"/>
        <v>948.6291488000013</v>
      </c>
      <c r="O42" s="7">
        <f t="shared" si="2"/>
        <v>26677.370851200001</v>
      </c>
      <c r="P42" s="9">
        <v>0.48</v>
      </c>
      <c r="Q42" s="7">
        <f t="shared" si="3"/>
        <v>12805.138008575999</v>
      </c>
    </row>
    <row r="43" spans="1:17" ht="14.25" x14ac:dyDescent="0.2">
      <c r="A43" s="24">
        <v>42</v>
      </c>
      <c r="B43" s="43" t="s">
        <v>114</v>
      </c>
      <c r="C43" s="41">
        <v>1106302017</v>
      </c>
      <c r="D43" s="30" t="s">
        <v>14</v>
      </c>
      <c r="E43" s="29" t="s">
        <v>11</v>
      </c>
      <c r="F43" s="25" t="s">
        <v>13</v>
      </c>
      <c r="G43" s="6" t="s">
        <v>76</v>
      </c>
      <c r="H43" s="6" t="s">
        <v>78</v>
      </c>
      <c r="I43" s="44" t="s">
        <v>55</v>
      </c>
      <c r="J43" s="45">
        <v>8</v>
      </c>
      <c r="K43" s="46">
        <v>224</v>
      </c>
      <c r="L43" s="7">
        <f t="shared" si="0"/>
        <v>11.200000000000001</v>
      </c>
      <c r="M43" s="8">
        <v>0.03</v>
      </c>
      <c r="N43" s="7">
        <f t="shared" si="1"/>
        <v>7.3071846400000098</v>
      </c>
      <c r="O43" s="7">
        <f t="shared" si="2"/>
        <v>205.49281536000001</v>
      </c>
      <c r="P43" s="9">
        <v>0.48</v>
      </c>
      <c r="Q43" s="7">
        <f t="shared" si="3"/>
        <v>98.6365513728</v>
      </c>
    </row>
    <row r="44" spans="1:17" ht="14.25" x14ac:dyDescent="0.2">
      <c r="A44" s="24">
        <v>43</v>
      </c>
      <c r="B44" s="43" t="s">
        <v>101</v>
      </c>
      <c r="C44" s="41" t="s">
        <v>84</v>
      </c>
      <c r="D44" s="30" t="s">
        <v>14</v>
      </c>
      <c r="E44" s="29" t="s">
        <v>11</v>
      </c>
      <c r="F44" s="25" t="s">
        <v>13</v>
      </c>
      <c r="G44" s="6" t="s">
        <v>76</v>
      </c>
      <c r="H44" s="6" t="s">
        <v>78</v>
      </c>
      <c r="I44" s="44" t="s">
        <v>45</v>
      </c>
      <c r="J44" s="45">
        <v>50</v>
      </c>
      <c r="K44" s="46">
        <v>1430</v>
      </c>
      <c r="L44" s="7">
        <f t="shared" si="0"/>
        <v>71.5</v>
      </c>
      <c r="M44" s="13">
        <v>0.03</v>
      </c>
      <c r="N44" s="7">
        <f t="shared" si="1"/>
        <v>46.64854480000006</v>
      </c>
      <c r="O44" s="7">
        <f t="shared" si="2"/>
        <v>1311.8514552000001</v>
      </c>
      <c r="P44" s="9">
        <v>0.48</v>
      </c>
      <c r="Q44" s="7">
        <f t="shared" si="3"/>
        <v>629.68869849600003</v>
      </c>
    </row>
    <row r="45" spans="1:17" ht="14.25" x14ac:dyDescent="0.2">
      <c r="A45" s="24">
        <v>44</v>
      </c>
      <c r="B45" s="23" t="s">
        <v>102</v>
      </c>
      <c r="C45" s="41">
        <v>1104952018</v>
      </c>
      <c r="D45" s="30" t="s">
        <v>14</v>
      </c>
      <c r="E45" s="29" t="s">
        <v>11</v>
      </c>
      <c r="F45" s="25" t="s">
        <v>13</v>
      </c>
      <c r="G45" s="6" t="s">
        <v>76</v>
      </c>
      <c r="H45" s="6" t="s">
        <v>78</v>
      </c>
      <c r="I45" s="44" t="s">
        <v>71</v>
      </c>
      <c r="J45" s="45">
        <v>1431</v>
      </c>
      <c r="K45" s="46">
        <v>46082</v>
      </c>
      <c r="L45" s="7">
        <f t="shared" si="0"/>
        <v>2304.1</v>
      </c>
      <c r="M45" s="8">
        <v>0.03</v>
      </c>
      <c r="N45" s="7">
        <f t="shared" si="1"/>
        <v>1503.257511520002</v>
      </c>
      <c r="O45" s="7">
        <f t="shared" si="2"/>
        <v>42274.64248848</v>
      </c>
      <c r="P45" s="9">
        <v>0.48</v>
      </c>
      <c r="Q45" s="7">
        <f t="shared" si="3"/>
        <v>20291.828394470398</v>
      </c>
    </row>
    <row r="46" spans="1:17" ht="14.25" x14ac:dyDescent="0.2">
      <c r="A46" s="24">
        <v>45</v>
      </c>
      <c r="B46" s="23" t="s">
        <v>103</v>
      </c>
      <c r="C46" s="41">
        <v>1804952018</v>
      </c>
      <c r="D46" s="30" t="s">
        <v>14</v>
      </c>
      <c r="E46" s="29" t="s">
        <v>11</v>
      </c>
      <c r="F46" s="25" t="s">
        <v>13</v>
      </c>
      <c r="G46" s="6" t="s">
        <v>76</v>
      </c>
      <c r="H46" s="6" t="s">
        <v>78</v>
      </c>
      <c r="I46" s="44" t="s">
        <v>45</v>
      </c>
      <c r="J46" s="45">
        <v>314</v>
      </c>
      <c r="K46" s="46">
        <v>10109</v>
      </c>
      <c r="L46" s="7">
        <f t="shared" si="0"/>
        <v>505.45000000000005</v>
      </c>
      <c r="M46" s="8">
        <v>0.03</v>
      </c>
      <c r="N46" s="7">
        <f t="shared" si="1"/>
        <v>329.76932824000045</v>
      </c>
      <c r="O46" s="12">
        <f t="shared" si="2"/>
        <v>9273.7806717599997</v>
      </c>
      <c r="P46" s="9">
        <v>0.48</v>
      </c>
      <c r="Q46" s="7">
        <f t="shared" si="3"/>
        <v>4451.4147224447997</v>
      </c>
    </row>
    <row r="47" spans="1:17" ht="14.25" x14ac:dyDescent="0.2">
      <c r="A47" s="24">
        <v>46</v>
      </c>
      <c r="B47" s="23" t="s">
        <v>29</v>
      </c>
      <c r="C47" s="41">
        <v>1103922018</v>
      </c>
      <c r="D47" s="30" t="s">
        <v>14</v>
      </c>
      <c r="E47" s="29" t="s">
        <v>11</v>
      </c>
      <c r="F47" s="25" t="s">
        <v>13</v>
      </c>
      <c r="G47" s="6" t="s">
        <v>76</v>
      </c>
      <c r="H47" s="6" t="s">
        <v>78</v>
      </c>
      <c r="I47" s="26" t="s">
        <v>72</v>
      </c>
      <c r="J47" s="25">
        <v>13</v>
      </c>
      <c r="K47" s="27">
        <v>396</v>
      </c>
      <c r="L47" s="7">
        <f t="shared" si="0"/>
        <v>19.8</v>
      </c>
      <c r="M47" s="8">
        <v>0.03</v>
      </c>
      <c r="N47" s="7">
        <f t="shared" si="1"/>
        <v>12.918058560000016</v>
      </c>
      <c r="O47" s="12">
        <f t="shared" si="2"/>
        <v>363.28194144000003</v>
      </c>
      <c r="P47" s="9">
        <v>0.48</v>
      </c>
      <c r="Q47" s="7">
        <f t="shared" si="3"/>
        <v>174.37533189120001</v>
      </c>
    </row>
    <row r="48" spans="1:17" ht="14.25" x14ac:dyDescent="0.2">
      <c r="A48" s="24">
        <v>47</v>
      </c>
      <c r="B48" s="23" t="s">
        <v>104</v>
      </c>
      <c r="C48" s="41" t="s">
        <v>85</v>
      </c>
      <c r="D48" s="30" t="s">
        <v>14</v>
      </c>
      <c r="E48" s="29" t="s">
        <v>11</v>
      </c>
      <c r="F48" s="25" t="s">
        <v>13</v>
      </c>
      <c r="G48" s="6" t="s">
        <v>76</v>
      </c>
      <c r="H48" s="6" t="s">
        <v>78</v>
      </c>
      <c r="I48" s="26" t="s">
        <v>73</v>
      </c>
      <c r="J48" s="25">
        <v>853</v>
      </c>
      <c r="K48" s="27">
        <v>25928</v>
      </c>
      <c r="L48" s="7">
        <f t="shared" si="0"/>
        <v>1296.4000000000001</v>
      </c>
      <c r="M48" s="8">
        <v>0.03</v>
      </c>
      <c r="N48" s="7">
        <f t="shared" si="1"/>
        <v>845.80662208000115</v>
      </c>
      <c r="O48" s="12">
        <f t="shared" si="2"/>
        <v>23785.793377919999</v>
      </c>
      <c r="P48" s="9">
        <v>0.48</v>
      </c>
      <c r="Q48" s="7">
        <f t="shared" si="3"/>
        <v>11417.1808214016</v>
      </c>
    </row>
    <row r="49" spans="1:17" ht="14.25" x14ac:dyDescent="0.2">
      <c r="A49" s="24">
        <v>48</v>
      </c>
      <c r="B49" s="23" t="s">
        <v>105</v>
      </c>
      <c r="C49" s="41">
        <v>1104632017</v>
      </c>
      <c r="D49" s="30" t="s">
        <v>14</v>
      </c>
      <c r="E49" s="29" t="s">
        <v>11</v>
      </c>
      <c r="F49" s="25" t="s">
        <v>13</v>
      </c>
      <c r="G49" s="6" t="s">
        <v>76</v>
      </c>
      <c r="H49" s="6" t="s">
        <v>78</v>
      </c>
      <c r="I49" s="26" t="s">
        <v>50</v>
      </c>
      <c r="J49" s="25">
        <v>0</v>
      </c>
      <c r="K49" s="27">
        <v>0</v>
      </c>
      <c r="L49" s="7">
        <f t="shared" si="0"/>
        <v>0</v>
      </c>
      <c r="M49" s="8">
        <v>0.03</v>
      </c>
      <c r="N49" s="7">
        <f t="shared" si="1"/>
        <v>0</v>
      </c>
      <c r="O49" s="12">
        <f t="shared" si="2"/>
        <v>0</v>
      </c>
      <c r="P49" s="9">
        <v>0.48</v>
      </c>
      <c r="Q49" s="7">
        <f t="shared" si="3"/>
        <v>0</v>
      </c>
    </row>
    <row r="50" spans="1:17" ht="14.25" x14ac:dyDescent="0.2">
      <c r="A50" s="24">
        <v>49</v>
      </c>
      <c r="B50" s="23" t="s">
        <v>105</v>
      </c>
      <c r="C50" s="41">
        <v>1104632017</v>
      </c>
      <c r="D50" s="30" t="s">
        <v>14</v>
      </c>
      <c r="E50" s="29" t="s">
        <v>11</v>
      </c>
      <c r="F50" s="25" t="s">
        <v>13</v>
      </c>
      <c r="G50" s="6" t="s">
        <v>76</v>
      </c>
      <c r="H50" s="6" t="s">
        <v>78</v>
      </c>
      <c r="I50" s="26" t="s">
        <v>53</v>
      </c>
      <c r="J50" s="25">
        <v>8</v>
      </c>
      <c r="K50" s="27">
        <v>266</v>
      </c>
      <c r="L50" s="7">
        <f t="shared" si="0"/>
        <v>13.3</v>
      </c>
      <c r="M50" s="13">
        <v>0.03</v>
      </c>
      <c r="N50" s="11">
        <f t="shared" si="1"/>
        <v>8.6772817600000121</v>
      </c>
      <c r="O50" s="14">
        <f t="shared" si="2"/>
        <v>244.02271824000002</v>
      </c>
      <c r="P50" s="9">
        <v>0.48</v>
      </c>
      <c r="Q50" s="7">
        <f t="shared" si="3"/>
        <v>117.13090475520001</v>
      </c>
    </row>
    <row r="51" spans="1:17" ht="14.25" x14ac:dyDescent="0.2">
      <c r="A51" s="24">
        <v>50</v>
      </c>
      <c r="B51" s="23" t="s">
        <v>31</v>
      </c>
      <c r="C51" s="41">
        <v>91101172018</v>
      </c>
      <c r="D51" s="30" t="s">
        <v>14</v>
      </c>
      <c r="E51" s="29" t="s">
        <v>11</v>
      </c>
      <c r="F51" s="25" t="s">
        <v>13</v>
      </c>
      <c r="G51" s="6" t="s">
        <v>76</v>
      </c>
      <c r="H51" s="6" t="s">
        <v>78</v>
      </c>
      <c r="I51" s="26" t="s">
        <v>65</v>
      </c>
      <c r="J51" s="25">
        <v>5</v>
      </c>
      <c r="K51" s="27">
        <v>134</v>
      </c>
      <c r="L51" s="7">
        <f t="shared" si="0"/>
        <v>6.7</v>
      </c>
      <c r="M51" s="8">
        <v>0.03</v>
      </c>
      <c r="N51" s="7">
        <f t="shared" si="1"/>
        <v>4.3712622400000054</v>
      </c>
      <c r="O51" s="7">
        <f t="shared" si="2"/>
        <v>122.92873776</v>
      </c>
      <c r="P51" s="9">
        <v>0.48</v>
      </c>
      <c r="Q51" s="7">
        <f t="shared" si="3"/>
        <v>59.005794124799998</v>
      </c>
    </row>
    <row r="52" spans="1:17" ht="14.25" x14ac:dyDescent="0.2">
      <c r="A52" s="24">
        <v>51</v>
      </c>
      <c r="B52" s="23" t="s">
        <v>30</v>
      </c>
      <c r="C52" s="41">
        <v>51201022018</v>
      </c>
      <c r="D52" s="30" t="s">
        <v>14</v>
      </c>
      <c r="E52" s="29" t="s">
        <v>11</v>
      </c>
      <c r="F52" s="25" t="s">
        <v>13</v>
      </c>
      <c r="G52" s="6" t="s">
        <v>76</v>
      </c>
      <c r="H52" s="6" t="s">
        <v>78</v>
      </c>
      <c r="I52" s="26" t="s">
        <v>74</v>
      </c>
      <c r="J52" s="25">
        <v>1115</v>
      </c>
      <c r="K52" s="27">
        <v>32960</v>
      </c>
      <c r="L52" s="7">
        <f t="shared" si="0"/>
        <v>1648</v>
      </c>
      <c r="M52" s="8">
        <v>0.03</v>
      </c>
      <c r="N52" s="7">
        <f t="shared" si="1"/>
        <v>1075.2000256000015</v>
      </c>
      <c r="O52" s="7">
        <f t="shared" si="2"/>
        <v>30236.799974400001</v>
      </c>
      <c r="P52" s="9">
        <v>0.48</v>
      </c>
      <c r="Q52" s="7">
        <f t="shared" si="3"/>
        <v>14513.663987712</v>
      </c>
    </row>
    <row r="53" spans="1:17" ht="14.25" x14ac:dyDescent="0.2">
      <c r="A53" s="24">
        <v>52</v>
      </c>
      <c r="B53" s="23" t="s">
        <v>34</v>
      </c>
      <c r="C53" s="41">
        <v>14101072018</v>
      </c>
      <c r="D53" s="30" t="s">
        <v>14</v>
      </c>
      <c r="E53" s="29" t="s">
        <v>11</v>
      </c>
      <c r="F53" s="25" t="s">
        <v>13</v>
      </c>
      <c r="G53" s="6" t="s">
        <v>76</v>
      </c>
      <c r="H53" s="6" t="s">
        <v>78</v>
      </c>
      <c r="I53" s="26" t="s">
        <v>75</v>
      </c>
      <c r="J53" s="25">
        <v>11</v>
      </c>
      <c r="K53" s="27">
        <v>313</v>
      </c>
      <c r="L53" s="7">
        <f t="shared" si="0"/>
        <v>15.65</v>
      </c>
      <c r="M53" s="8">
        <v>0.03</v>
      </c>
      <c r="N53" s="7">
        <f t="shared" si="1"/>
        <v>10.210485680000014</v>
      </c>
      <c r="O53" s="7">
        <f t="shared" si="2"/>
        <v>287.13951431999999</v>
      </c>
      <c r="P53" s="9">
        <v>0.48</v>
      </c>
      <c r="Q53" s="7">
        <f t="shared" si="3"/>
        <v>137.82696687359999</v>
      </c>
    </row>
    <row r="54" spans="1:17" ht="14.25" x14ac:dyDescent="0.2">
      <c r="A54" s="24"/>
      <c r="B54" s="40" t="s">
        <v>20</v>
      </c>
      <c r="C54" s="34"/>
      <c r="D54" s="35"/>
      <c r="E54" s="35"/>
      <c r="F54" s="24"/>
      <c r="G54" s="36"/>
      <c r="H54" s="36"/>
      <c r="I54" s="37"/>
      <c r="J54" s="37"/>
      <c r="K54" s="38">
        <f>SUM(K2:K53)</f>
        <v>679114.98</v>
      </c>
      <c r="L54" s="38"/>
      <c r="M54" s="38"/>
      <c r="N54" s="38">
        <f>SUM(N2:N53)</f>
        <v>22153.654243972836</v>
      </c>
      <c r="O54" s="38">
        <f>SUM(O2:O53)</f>
        <v>623005.57675602729</v>
      </c>
      <c r="P54" s="39"/>
      <c r="Q54" s="38">
        <f>SUM(Q2:Q53)</f>
        <v>299042.67684289301</v>
      </c>
    </row>
  </sheetData>
  <protectedRanges>
    <protectedRange sqref="A2:XFD3 B43:E46 F42:F46 A4:F41 A43:A53 B47:F53 A54:XFD1048576 A42:E42 G4:XFD53" name="区域1"/>
  </protectedRanges>
  <phoneticPr fontId="1" type="noConversion"/>
  <printOptions horizontalCentered="1"/>
  <pageMargins left="0" right="0" top="0" bottom="0" header="0.31496062992125984" footer="0.31496062992125984"/>
  <pageSetup paperSize="9" scale="5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7月结算表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2018-08-02T06:06:19Z</dcterms:modified>
</cp:coreProperties>
</file>